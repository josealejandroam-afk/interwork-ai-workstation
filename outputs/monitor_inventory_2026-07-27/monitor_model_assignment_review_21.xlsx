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74d8fc45f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065c7678105a4a2e"/>
    <x:sheet xmlns:r="http://schemas.openxmlformats.org/officeDocument/2006/relationships" name="21 Model Assignments" sheetId="2" r:id="Ra9d96a771e62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4"/>
      <x:name val="Carlito"/>
    </x:font>
    <x:font>
      <x:sz val="11"/>
      <x:color rgb="FF065F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C2D12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ECFDF5"/>
      </x:patternFill>
    </x:fill>
  </x:fills>
  <x:borders count="15">
    <x:border/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left style="thin">
        <x:color rgb="FF6EE7B7"/>
      </x:left>
      <x:top style="thin">
        <x:color rgb="FF6EE7B7"/>
      </x:top>
    </x:border>
    <x:border>
      <x:top style="thin">
        <x:color rgb="FF6EE7B7"/>
      </x:top>
    </x:border>
    <x:border>
      <x:right style="thin">
        <x:color rgb="FF6EE7B7"/>
      </x:right>
      <x:top style="thin">
        <x:color rgb="FF6EE7B7"/>
      </x:top>
    </x:border>
    <x:border>
      <x:left style="thin">
        <x:color rgb="FF6EE7B7"/>
      </x:left>
    </x:border>
    <x:border>
      <x:right style="thin">
        <x:color rgb="FF6EE7B7"/>
      </x:right>
    </x:border>
    <x:border>
      <x:left style="thin">
        <x:color rgb="FF6EE7B7"/>
      </x:left>
      <x:bottom style="thin">
        <x:color rgb="FF6EE7B7"/>
      </x:bottom>
    </x:border>
    <x:border>
      <x:bottom style="thin">
        <x:color rgb="FF6EE7B7"/>
      </x:bottom>
    </x:border>
    <x:border>
      <x:right style="thin">
        <x:color rgb="FF6EE7B7"/>
      </x:right>
      <x:bottom style="thin">
        <x:color rgb="FF6EE7B7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0" borderId="4" xfId="0" applyNumberFormat="1" applyFont="1" applyFill="1" applyBorder="1"/>
    <x:xf numFmtId="0" fontId="4" fillId="0" borderId="6" xfId="0" applyNumberFormat="1" applyFont="1" applyFill="1" applyBorder="1"/>
    <x:xf numFmtId="201" fontId="4" fillId="0" borderId="4" xfId="0" applyNumberFormat="1" applyFont="1" applyFill="1" applyBorder="1"/>
    <x:xf numFmtId="201" fontId="4" fillId="0" borderId="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0bbb016c24e3d" /><Relationship Type="http://schemas.openxmlformats.org/officeDocument/2006/relationships/theme" Target="/xl/theme/theme1.xml" Id="Rb4524dbc9d8a485c" /><Relationship Type="http://schemas.openxmlformats.org/officeDocument/2006/relationships/sharedStrings" Target="/xl/sharedStrings.xml" Id="R7b5d4176261d4874" /><Relationship Type="http://schemas.openxmlformats.org/officeDocument/2006/relationships/worksheet" Target="/xl/worksheets/sheet1.xml" Id="R065c7678105a4a2e" /><Relationship Type="http://schemas.openxmlformats.org/officeDocument/2006/relationships/worksheet" Target="/xl/worksheets/sheet2.xml" Id="Ra9d96a771e624977" /><Relationship Type="http://schemas.microsoft.com/office/2017/10/relationships/person" Target="/xl/persons/person.xml" Id="R9bf1df2417d04fb5" /></Relationships>
</file>

<file path=xl/persons/person.xml><?xml version="1.0" encoding="utf-8"?>
<xltc:personList xmlns:xltc="http://schemas.microsoft.com/office/spreadsheetml/2018/threadedcomments">
  <xltc:person displayName="Alejandro Acosta" id="{748B2E4A-5744-48F2-8777-B6967DD36DD5}"/>
</xltc:personList>
</file>

<file path=xl/tables/table1.xml><?xml version="1.0" encoding="utf-8"?>
<x:table xmlns:x="http://schemas.openxmlformats.org/spreadsheetml/2006/main" id="1" name="ModelAssignmentReview" displayName="ModelAssignmentReview" ref="A1:P22" headerRowCount="1" totalsRowCount="0" totalsRowShown="0">
  <x:tableColumns count="16">
    <x:tableColumn id="1" name="Review Bucket"/>
    <x:tableColumn id="2" name="Photo File"/>
    <x:tableColumn id="3" name="Proposed Series"/>
    <x:tableColumn id="4" name="Proposed Type/Model"/>
    <x:tableColumn id="5" name="MTM"/>
    <x:tableColumn id="6" name="Serial Number"/>
    <x:tableColumn id="7" name="FRU Number"/>
    <x:tableColumn id="8" name="Manufacture Date"/>
    <x:tableColumn id="9" name="Identification Basis"/>
    <x:tableColumn id="10" name="Original Model Field"/>
    <x:tableColumn id="11" name="Record Review Notes"/>
    <x:tableColumn id="12" name="Source Photo Path"/>
    <x:tableColumn id="13" name="Resolution Status"/>
    <x:tableColumn id="14" name="Final Series"/>
    <x:tableColumn id="15" name="Final Type/Model"/>
    <x:tableColumn id="16" name="Reviewe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59f848e1c046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8" customHeight="1">
      <x:c r="A1" s="6" t="str">
        <x:v>Model Assignment Review — 21 Units</x:v>
      </x:c>
      <x:c r="B1" s="6"/>
      <x:c r="C1" s="6"/>
      <x:c r="D1" s="6"/>
      <x:c r="E1" s="6"/>
      <x:c r="F1" s="6"/>
    </x:row>
    <x:row r="3">
      <x:c r="A3" s="9" t="str">
        <x:v>Review Bucket</x:v>
      </x:c>
      <x:c r="B3" s="10" t="str">
        <x:v>Count</x:v>
      </x:c>
    </x:row>
    <x:row r="4">
      <x:c r="A4" s="11" t="str">
        <x:v>Identifier-Based Inference</x:v>
      </x:c>
      <x:c r="B4" s="17" t="n">
        <x:f>COUNTIF('21 Model Assignments'!$A$2:$A$22,A4)</x:f>
        <x:v>15</x:v>
      </x:c>
    </x:row>
    <x:row r="5">
      <x:c r="A5" s="11" t="str">
        <x:v>Fully Unresolved</x:v>
      </x:c>
      <x:c r="B5" s="17" t="n">
        <x:f>COUNTIF('21 Model Assignments'!$A$2:$A$22,A5)</x:f>
        <x:v>6</x:v>
      </x:c>
    </x:row>
    <x:row r="6">
      <x:c r="A6" s="13" t="str">
        <x:v>Total</x:v>
      </x:c>
      <x:c r="B6" s="18" t="n">
        <x:f>SUM(B4:B5)</x:f>
        <x:v>21</x:v>
      </x:c>
    </x:row>
    <x:row r="7">
      <x:c r="A7" t="str"/>
      <x:c r="B7" t="str"/>
    </x:row>
    <x:row r="8">
      <x:c r="A8" s="9" t="str">
        <x:v>Resolution Outcome</x:v>
      </x:c>
      <x:c r="B8" s="10" t="str">
        <x:v>Count</x:v>
      </x:c>
    </x:row>
    <x:row r="9">
      <x:c r="A9" s="11" t="str">
        <x:v>Confirmed by Visual Review</x:v>
      </x:c>
      <x:c r="B9" s="17" t="n">
        <x:f>COUNTIF('21 Model Assignments'!$M$2:$M$22,"Confirmed")</x:f>
        <x:v>21</x:v>
      </x:c>
    </x:row>
    <x:row r="10">
      <x:c r="A10" s="11" t="str">
        <x:v>Still Unresolved</x:v>
      </x:c>
      <x:c r="B10" s="17" t="n">
        <x:f>COUNTIF('21 Model Assignments'!$M$2:$M$22,"Unresolved")</x:f>
        <x:v>0</x:v>
      </x:c>
    </x:row>
    <x:row r="11">
      <x:c r="A11" s="13" t="str">
        <x:v>Final Assigned Total</x:v>
      </x:c>
      <x:c r="B11" s="18" t="n">
        <x:f>B9</x:f>
        <x:v>21</x:v>
      </x:c>
    </x:row>
    <x:row r="13">
      <x:c r="A13" s="38" t="str">
        <x:v>Completed 2026-07-27: all 21 model assignments were confirmed by direct visual review of the printed source-photo labels. Final quantities across all 190 photos: ThinkVision T2254pC 151; ThinkVision T22i-10 25; ThinkVision T22i-20 5; ThinkVision P24h-30 9.</x:v>
      </x:c>
      <x:c r="B13" s="39"/>
      <x:c r="C13" s="39"/>
      <x:c r="D13" s="39"/>
      <x:c r="E13" s="39"/>
      <x:c r="F13" s="40"/>
    </x:row>
    <x:row r="14">
      <x:c r="A14" s="41"/>
      <x:c r="B14" s="42"/>
      <x:c r="C14" s="42"/>
      <x:c r="D14" s="42"/>
      <x:c r="E14" s="42"/>
      <x:c r="F14" s="43"/>
    </x:row>
    <x:row r="15">
      <x:c r="A15" s="41"/>
      <x:c r="B15" s="42"/>
      <x:c r="C15" s="42"/>
      <x:c r="D15" s="42"/>
      <x:c r="E15" s="42"/>
      <x:c r="F15" s="43"/>
    </x:row>
    <x:row r="16">
      <x:c r="A16" s="44"/>
      <x:c r="B16" s="45"/>
      <x:c r="C16" s="45"/>
      <x:c r="D16" s="45"/>
      <x:c r="E16" s="45"/>
      <x:c r="F16" s="46"/>
    </x:row>
  </x:sheetData>
  <x:mergeCells>
    <x:mergeCell ref="A1:F1"/>
    <x:mergeCell ref="A13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24" hidden="0" customWidth="1"/>
    <x:col min="4" max="4" width="20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38" hidden="0" customWidth="1"/>
    <x:col min="10" max="10" width="20" hidden="0" customWidth="1"/>
    <x:col min="11" max="11" width="36" hidden="0" customWidth="1"/>
    <x:col min="12" max="12" width="62" hidden="0" customWidth="1"/>
    <x:col min="13" max="13" width="18" hidden="0" customWidth="1"/>
    <x:col min="14" max="14" width="24" hidden="0" customWidth="1"/>
    <x:col min="15" max="15" width="20" hidden="0" customWidth="1"/>
    <x:col min="16" max="16" width="36" hidden="0" customWidth="1"/>
  </x:cols>
  <x:sheetData>
    <x:row r="1" ht="30" customHeight="1">
      <x:c r="A1" s="2" t="str">
        <x:v>Review Bucket</x:v>
      </x:c>
      <x:c r="B1" s="2" t="str">
        <x:v>Photo File</x:v>
      </x:c>
      <x:c r="C1" s="2" t="str">
        <x:v>Proposed Series</x:v>
      </x:c>
      <x:c r="D1" s="2" t="str">
        <x:v>Proposed Type/Model</x:v>
      </x:c>
      <x:c r="E1" s="2" t="str">
        <x:v>MTM</x:v>
      </x:c>
      <x:c r="F1" s="2" t="str">
        <x:v>Serial Number</x:v>
      </x:c>
      <x:c r="G1" s="2" t="str">
        <x:v>FRU Number</x:v>
      </x:c>
      <x:c r="H1" s="2" t="str">
        <x:v>Manufacture Date</x:v>
      </x:c>
      <x:c r="I1" s="2" t="str">
        <x:v>Identification Basis</x:v>
      </x:c>
      <x:c r="J1" s="2" t="str">
        <x:v>Original Model Field</x:v>
      </x:c>
      <x:c r="K1" s="2" t="str">
        <x:v>Record Review Notes</x:v>
      </x:c>
      <x:c r="L1" s="2" t="str">
        <x:v>Source Photo Path</x:v>
      </x:c>
      <x:c r="M1" s="2" t="str">
        <x:v>Resolution Status</x:v>
      </x:c>
      <x:c r="N1" s="2" t="str">
        <x:v>Final Series</x:v>
      </x:c>
      <x:c r="O1" s="2" t="str">
        <x:v>Final Type/Model</x:v>
      </x:c>
      <x:c r="P1" s="2" t="str">
        <x:v>Reviewer Notes</x:v>
      </x:c>
    </x:row>
    <x:row r="2">
      <x:c r="A2" t="str">
        <x:v>Identifier-Based Inference</x:v>
      </x:c>
      <x:c r="B2" t="str">
        <x:v>IMG_6306.JPG</x:v>
      </x:c>
      <x:c r="C2" t="str">
        <x:v>ThinkVision T22i-10</x:v>
      </x:c>
      <x:c r="D2" t="str">
        <x:v>A16215FT0</x:v>
      </x:c>
      <x:c r="E2" t="str">
        <x:v>1610-0088 EU</x:v>
      </x:c>
      <x:c r="F2" t="str">
        <x:v>V5MV8924</x:v>
      </x:c>
      <x:c r="G2" t="str">
        <x:v>OOPC160</x:v>
      </x:c>
      <x:c r="H2" s="3" t="n">
        <x:v>43733</x:v>
      </x:c>
      <x:c r="I2" s="4" t="str">
        <x:v>Printed Type/Model line confirmed by direct source-photo review</x:v>
      </x:c>
      <x:c r="J2" s="4" t="str"/>
      <x:c r="K2" s="4" t="str">
        <x:v>Model not confidently extracted</x:v>
      </x:c>
      <x:c r="L2" s="4" t="str">
        <x:v>C:\Users\AlejandroAcosta\Documents\ai-workstation\work\monitor_inventory_2026-07-27\monitors\IMG_6306.JPG</x:v>
      </x:c>
      <x:c r="M2" s="4" t="str">
        <x:v>Confirmed</x:v>
      </x:c>
      <x:c r="N2" s="4" t="str">
        <x:v>ThinkVision T22i-10</x:v>
      </x:c>
      <x:c r="O2" s="4" t="str">
        <x:v>A16215FT0</x:v>
      </x:c>
      <x:c r="P2" s="4" t="str">
        <x:v>Confirmed by direct visual review of the printed source-photo label on 2026-07-27.</x:v>
      </x:c>
    </x:row>
    <x:row r="3">
      <x:c r="A3" t="str">
        <x:v>Fully Unresolved</x:v>
      </x:c>
      <x:c r="B3" t="str">
        <x:v>IMG_6326.JPG</x:v>
      </x:c>
      <x:c r="C3" t="str">
        <x:v>ThinkVision T2254pC</x:v>
      </x:c>
      <x:c r="D3" t="str">
        <x:v>T2254pC</x:v>
      </x:c>
      <x:c r="E3" t="str"/>
      <x:c r="F3" t="str">
        <x:v>VNA1H63AK</x:v>
      </x:c>
      <x:c r="G3" t="str"/>
      <x:c r="H3" s="3"/>
      <x:c r="I3" s="4" t="str">
        <x:v>Printed Type/Model line confirmed by direct source-photo review</x:v>
      </x:c>
      <x:c r="J3" s="4" t="str"/>
      <x:c r="K3" s="4" t="str">
        <x:v>Serial confirmed by user-assisted visual review; atypical 9-character value retained exactly as confirmed.</x:v>
      </x:c>
      <x:c r="L3" s="4" t="str">
        <x:v>C:\Users\AlejandroAcosta\Documents\ai-workstation\work\monitor_inventory_2026-07-27\monitors\IMG_6326.JPG</x:v>
      </x:c>
      <x:c r="M3" s="4" t="str">
        <x:v>Confirmed</x:v>
      </x:c>
      <x:c r="N3" s="4" t="str">
        <x:v>ThinkVision T2254pC</x:v>
      </x:c>
      <x:c r="O3" s="4" t="str">
        <x:v>T2254pC</x:v>
      </x:c>
      <x:c r="P3" s="4" t="str">
        <x:v>Confirmed by direct visual review of the printed source-photo label on 2026-07-27.</x:v>
      </x:c>
    </x:row>
    <x:row r="4">
      <x:c r="A4" t="str">
        <x:v>Identifier-Based Inference</x:v>
      </x:c>
      <x:c r="B4" t="str">
        <x:v>IMG_6375.JPG</x:v>
      </x:c>
      <x:c r="C4" t="str">
        <x:v>ThinkVision T2254pC</x:v>
      </x:c>
      <x:c r="D4" t="str">
        <x:v>T2254pC</x:v>
      </x:c>
      <x:c r="E4" t="str"/>
      <x:c r="F4" t="str">
        <x:v>VNA20MYX</x:v>
      </x:c>
      <x:c r="G4" t="str"/>
      <x:c r="H4" s="3"/>
      <x:c r="I4" s="4" t="str">
        <x:v>Printed Type/Model line confirmed by direct source-photo review</x:v>
      </x:c>
      <x:c r="J4" s="4" t="str"/>
      <x:c r="K4" s="4" t="str">
        <x:v>Model not confidently extracted; Manufacture date not extracted</x:v>
      </x:c>
      <x:c r="L4" s="4" t="str">
        <x:v>C:\Users\AlejandroAcosta\Documents\ai-workstation\work\monitor_inventory_2026-07-27\monitors\IMG_6375.JPG</x:v>
      </x:c>
      <x:c r="M4" s="4" t="str">
        <x:v>Confirmed</x:v>
      </x:c>
      <x:c r="N4" s="4" t="str">
        <x:v>ThinkVision T2254pC</x:v>
      </x:c>
      <x:c r="O4" s="4" t="str">
        <x:v>T2254pC</x:v>
      </x:c>
      <x:c r="P4" s="4" t="str">
        <x:v>Confirmed by direct visual review of the printed source-photo label on 2026-07-27.</x:v>
      </x:c>
    </x:row>
    <x:row r="5">
      <x:c r="A5" t="str">
        <x:v>Identifier-Based Inference</x:v>
      </x:c>
      <x:c r="B5" t="str">
        <x:v>IMG_6376.JPG</x:v>
      </x:c>
      <x:c r="C5" t="str">
        <x:v>ThinkVision T2254pC</x:v>
      </x:c>
      <x:c r="D5" t="str">
        <x:v>T2254pC</x:v>
      </x:c>
      <x:c r="E5" t="str"/>
      <x:c r="F5" t="str">
        <x:v>VNA21PQ1</x:v>
      </x:c>
      <x:c r="G5" t="str"/>
      <x:c r="H5" s="3"/>
      <x:c r="I5" s="4" t="str">
        <x:v>Printed Type/Model line confirmed by direct source-photo review</x:v>
      </x:c>
      <x:c r="J5" s="4" t="str"/>
      <x:c r="K5" s="4" t="str">
        <x:v>Model not confidently extracted; Manufacture date not extracted</x:v>
      </x:c>
      <x:c r="L5" s="4" t="str">
        <x:v>C:\Users\AlejandroAcosta\Documents\ai-workstation\work\monitor_inventory_2026-07-27\monitors\IMG_6376.JPG</x:v>
      </x:c>
      <x:c r="M5" s="4" t="str">
        <x:v>Confirmed</x:v>
      </x:c>
      <x:c r="N5" s="4" t="str">
        <x:v>ThinkVision T2254pC</x:v>
      </x:c>
      <x:c r="O5" s="4" t="str">
        <x:v>T2254pC</x:v>
      </x:c>
      <x:c r="P5" s="4" t="str">
        <x:v>Confirmed by direct visual review of the printed source-photo label on 2026-07-27.</x:v>
      </x:c>
    </x:row>
    <x:row r="6">
      <x:c r="A6" t="str">
        <x:v>Fully Unresolved</x:v>
      </x:c>
      <x:c r="B6" t="str">
        <x:v>IMG_6383.JPG</x:v>
      </x:c>
      <x:c r="C6" t="str">
        <x:v>ThinkVision T2254pC</x:v>
      </x:c>
      <x:c r="D6" t="str">
        <x:v>T2254pC</x:v>
      </x:c>
      <x:c r="E6" t="str"/>
      <x:c r="F6" t="str">
        <x:v>VNA21P7P</x:v>
      </x:c>
      <x:c r="G6" t="str"/>
      <x:c r="H6" s="3"/>
      <x:c r="I6" s="4" t="str">
        <x:v>Printed Type/Model line confirmed by direct source-photo review</x:v>
      </x:c>
      <x:c r="J6" s="4" t="str"/>
      <x:c r="K6" s="4" t="str">
        <x:v>LOW-CONFIDENCE SERIAL</x:v>
      </x:c>
      <x:c r="L6" s="4" t="str">
        <x:v>C:\Users\AlejandroAcosta\Documents\ai-workstation\work\monitor_inventory_2026-07-27\monitors\IMG_6383.JPG</x:v>
      </x:c>
      <x:c r="M6" s="4" t="str">
        <x:v>Confirmed</x:v>
      </x:c>
      <x:c r="N6" s="4" t="str">
        <x:v>ThinkVision T2254pC</x:v>
      </x:c>
      <x:c r="O6" s="4" t="str">
        <x:v>T2254pC</x:v>
      </x:c>
      <x:c r="P6" s="4" t="str">
        <x:v>Confirmed by direct visual review of the printed source-photo label on 2026-07-27.</x:v>
      </x:c>
    </x:row>
    <x:row r="7">
      <x:c r="A7" t="str">
        <x:v>Identifier-Based Inference</x:v>
      </x:c>
      <x:c r="B7" t="str">
        <x:v>IMG_6387.JPG</x:v>
      </x:c>
      <x:c r="C7" t="str">
        <x:v>ThinkVision T22i-10</x:v>
      </x:c>
      <x:c r="D7" t="str">
        <x:v>A16215FT0</x:v>
      </x:c>
      <x:c r="E7" t="str"/>
      <x:c r="F7" t="str">
        <x:v>V5LA0027</x:v>
      </x:c>
      <x:c r="G7" t="str">
        <x:v>ooecieo</x:v>
      </x:c>
      <x:c r="H7" s="3"/>
      <x:c r="I7" s="4" t="str">
        <x:v>Printed Type/Model line confirmed by direct source-photo review</x:v>
      </x:c>
      <x:c r="J7" s="4" t="str"/>
      <x:c r="K7" s="4" t="str">
        <x:v>Model not confidently extracted; Manufacture date not extracted</x:v>
      </x:c>
      <x:c r="L7" s="4" t="str">
        <x:v>C:\Users\AlejandroAcosta\Documents\ai-workstation\work\monitor_inventory_2026-07-27\monitors\IMG_6387.JPG</x:v>
      </x:c>
      <x:c r="M7" s="4" t="str">
        <x:v>Confirmed</x:v>
      </x:c>
      <x:c r="N7" s="4" t="str">
        <x:v>ThinkVision T22i-10</x:v>
      </x:c>
      <x:c r="O7" s="4" t="str">
        <x:v>A16215FT0</x:v>
      </x:c>
      <x:c r="P7" s="4" t="str">
        <x:v>Confirmed by direct visual review of the printed source-photo label on 2026-07-27.</x:v>
      </x:c>
    </x:row>
    <x:row r="8">
      <x:c r="A8" t="str">
        <x:v>Fully Unresolved</x:v>
      </x:c>
      <x:c r="B8" t="str">
        <x:v>IMG_6393.JPG</x:v>
      </x:c>
      <x:c r="C8" t="str">
        <x:v>ThinkVision T2254pC</x:v>
      </x:c>
      <x:c r="D8" t="str">
        <x:v>T2254pC</x:v>
      </x:c>
      <x:c r="E8" t="str"/>
      <x:c r="F8" t="str">
        <x:v>VNA21POY</x:v>
      </x:c>
      <x:c r="G8" t="str"/>
      <x:c r="H8" s="3"/>
      <x:c r="I8" s="4" t="str">
        <x:v>Printed Type/Model line confirmed by direct source-photo review</x:v>
      </x:c>
      <x:c r="J8" s="4" t="str"/>
      <x:c r="K8" s="4" t="str">
        <x:v>Serial confirmed by direct visual review of the source-photo label.</x:v>
      </x:c>
      <x:c r="L8" s="4" t="str">
        <x:v>C:\Users\AlejandroAcosta\Documents\ai-workstation\work\monitor_inventory_2026-07-27\monitors\IMG_6393.JPG</x:v>
      </x:c>
      <x:c r="M8" s="4" t="str">
        <x:v>Confirmed</x:v>
      </x:c>
      <x:c r="N8" s="4" t="str">
        <x:v>ThinkVision T2254pC</x:v>
      </x:c>
      <x:c r="O8" s="4" t="str">
        <x:v>T2254pC</x:v>
      </x:c>
      <x:c r="P8" s="4" t="str">
        <x:v>Confirmed by direct visual review of the printed source-photo label on 2026-07-27.</x:v>
      </x:c>
    </x:row>
    <x:row r="9">
      <x:c r="A9" t="str">
        <x:v>Identifier-Based Inference</x:v>
      </x:c>
      <x:c r="B9" t="str">
        <x:v>IMG_6397.JPG</x:v>
      </x:c>
      <x:c r="C9" t="str">
        <x:v>ThinkVision T2254pC</x:v>
      </x:c>
      <x:c r="D9" t="str">
        <x:v>T2254pC</x:v>
      </x:c>
      <x:c r="E9" t="str"/>
      <x:c r="F9" t="str">
        <x:v>VNA20MRL</x:v>
      </x:c>
      <x:c r="G9" t="str"/>
      <x:c r="H9" s="3"/>
      <x:c r="I9" s="4" t="str">
        <x:v>Printed Type/Model line confirmed by direct source-photo review</x:v>
      </x:c>
      <x:c r="J9" s="4" t="str"/>
      <x:c r="K9" s="4" t="str">
        <x:v>Model not confidently extracted; Manufacture date not extracted</x:v>
      </x:c>
      <x:c r="L9" s="4" t="str">
        <x:v>C:\Users\AlejandroAcosta\Documents\ai-workstation\work\monitor_inventory_2026-07-27\monitors\IMG_6397.JPG</x:v>
      </x:c>
      <x:c r="M9" s="4" t="str">
        <x:v>Confirmed</x:v>
      </x:c>
      <x:c r="N9" s="4" t="str">
        <x:v>ThinkVision T2254pC</x:v>
      </x:c>
      <x:c r="O9" s="4" t="str">
        <x:v>T2254pC</x:v>
      </x:c>
      <x:c r="P9" s="4" t="str">
        <x:v>Confirmed by direct visual review of the printed source-photo label on 2026-07-27.</x:v>
      </x:c>
    </x:row>
    <x:row r="10">
      <x:c r="A10" t="str">
        <x:v>Identifier-Based Inference</x:v>
      </x:c>
      <x:c r="B10" t="str">
        <x:v>IMG_6401.JPG</x:v>
      </x:c>
      <x:c r="C10" t="str">
        <x:v>ThinkVision T2254pC</x:v>
      </x:c>
      <x:c r="D10" t="str">
        <x:v>T2254pC</x:v>
      </x:c>
      <x:c r="E10" t="str"/>
      <x:c r="F10" t="str">
        <x:v>VNA21PN1</x:v>
      </x:c>
      <x:c r="G10" t="str"/>
      <x:c r="H10" s="3"/>
      <x:c r="I10" s="4" t="str">
        <x:v>Printed Type/Model line confirmed by direct source-photo review</x:v>
      </x:c>
      <x:c r="J10" s="4" t="str"/>
      <x:c r="K10" s="4" t="str">
        <x:v>Model not confidently extracted; Manufacture date not extracted</x:v>
      </x:c>
      <x:c r="L10" s="4" t="str">
        <x:v>C:\Users\AlejandroAcosta\Documents\ai-workstation\work\monitor_inventory_2026-07-27\monitors\IMG_6401.JPG</x:v>
      </x:c>
      <x:c r="M10" s="4" t="str">
        <x:v>Confirmed</x:v>
      </x:c>
      <x:c r="N10" s="4" t="str">
        <x:v>ThinkVision T2254pC</x:v>
      </x:c>
      <x:c r="O10" s="4" t="str">
        <x:v>T2254pC</x:v>
      </x:c>
      <x:c r="P10" s="4" t="str">
        <x:v>Confirmed by direct visual review of the printed source-photo label on 2026-07-27.</x:v>
      </x:c>
    </x:row>
    <x:row r="11">
      <x:c r="A11" t="str">
        <x:v>Identifier-Based Inference</x:v>
      </x:c>
      <x:c r="B11" t="str">
        <x:v>IMG_6403.JPG</x:v>
      </x:c>
      <x:c r="C11" t="str">
        <x:v>ThinkVision T2254pC</x:v>
      </x:c>
      <x:c r="D11" t="str">
        <x:v>T2254pC</x:v>
      </x:c>
      <x:c r="E11" t="str">
        <x:v>60Et.MAR2.WW</x:v>
      </x:c>
      <x:c r="F11" t="str">
        <x:v>VNA20MKP</x:v>
      </x:c>
      <x:c r="G11" t="str"/>
      <x:c r="H11" s="3"/>
      <x:c r="I11" s="4" t="str">
        <x:v>Printed Type/Model line confirmed by direct source-photo review</x:v>
      </x:c>
      <x:c r="J11" s="4" t="str"/>
      <x:c r="K11" s="4" t="str">
        <x:v>Model not confidently extracted; Manufacture date not extracted</x:v>
      </x:c>
      <x:c r="L11" s="4" t="str">
        <x:v>C:\Users\AlejandroAcosta\Documents\ai-workstation\work\monitor_inventory_2026-07-27\monitors\IMG_6403.JPG</x:v>
      </x:c>
      <x:c r="M11" s="4" t="str">
        <x:v>Confirmed</x:v>
      </x:c>
      <x:c r="N11" s="4" t="str">
        <x:v>ThinkVision T2254pC</x:v>
      </x:c>
      <x:c r="O11" s="4" t="str">
        <x:v>T2254pC</x:v>
      </x:c>
      <x:c r="P11" s="4" t="str">
        <x:v>Confirmed by direct visual review of the printed source-photo label on 2026-07-27.</x:v>
      </x:c>
    </x:row>
    <x:row r="12">
      <x:c r="A12" t="str">
        <x:v>Fully Unresolved</x:v>
      </x:c>
      <x:c r="B12" t="str">
        <x:v>IMG_6404.JPG</x:v>
      </x:c>
      <x:c r="C12" t="str">
        <x:v>ThinkVision T2254pC</x:v>
      </x:c>
      <x:c r="D12" t="str">
        <x:v>T2254pC</x:v>
      </x:c>
      <x:c r="E12" t="str"/>
      <x:c r="F12" t="str">
        <x:v>VNA21N77</x:v>
      </x:c>
      <x:c r="G12" t="str"/>
      <x:c r="H12" s="3"/>
      <x:c r="I12" s="4" t="str">
        <x:v>Printed Type/Model line confirmed by direct source-photo review</x:v>
      </x:c>
      <x:c r="J12" s="4" t="str"/>
      <x:c r="K12" s="4" t="str">
        <x:v>Serial confirmed from the supplied high-legibility review.</x:v>
      </x:c>
      <x:c r="L12" s="4" t="str">
        <x:v>C:\Users\AlejandroAcosta\Documents\ai-workstation\work\monitor_inventory_2026-07-27\monitors\IMG_6404.JPG</x:v>
      </x:c>
      <x:c r="M12" s="4" t="str">
        <x:v>Confirmed</x:v>
      </x:c>
      <x:c r="N12" s="4" t="str">
        <x:v>ThinkVision T2254pC</x:v>
      </x:c>
      <x:c r="O12" s="4" t="str">
        <x:v>T2254pC</x:v>
      </x:c>
      <x:c r="P12" s="4" t="str">
        <x:v>Confirmed by direct visual review of the printed source-photo label on 2026-07-27.</x:v>
      </x:c>
    </x:row>
    <x:row r="13">
      <x:c r="A13" t="str">
        <x:v>Fully Unresolved</x:v>
      </x:c>
      <x:c r="B13" t="str">
        <x:v>IMG_6408.JPG</x:v>
      </x:c>
      <x:c r="C13" t="str">
        <x:v>ThinkVision T2254pC</x:v>
      </x:c>
      <x:c r="D13" t="str">
        <x:v>T2254pC</x:v>
      </x:c>
      <x:c r="E13" t="str"/>
      <x:c r="F13" t="str">
        <x:v>VNA2PHF</x:v>
      </x:c>
      <x:c r="G13" t="str"/>
      <x:c r="H13" s="3"/>
      <x:c r="I13" s="4" t="str">
        <x:v>Printed Type/Model line confirmed by direct source-photo review</x:v>
      </x:c>
      <x:c r="J13" s="4" t="str"/>
      <x:c r="K13" s="4" t="str">
        <x:v>LOW-CONFIDENCE SERIAL</x:v>
      </x:c>
      <x:c r="L13" s="4" t="str">
        <x:v>C:\Users\AlejandroAcosta\Documents\ai-workstation\work\monitor_inventory_2026-07-27\monitors\IMG_6408.JPG</x:v>
      </x:c>
      <x:c r="M13" s="4" t="str">
        <x:v>Confirmed</x:v>
      </x:c>
      <x:c r="N13" s="4" t="str">
        <x:v>ThinkVision T2254pC</x:v>
      </x:c>
      <x:c r="O13" s="4" t="str">
        <x:v>T2254pC</x:v>
      </x:c>
      <x:c r="P13" s="4" t="str">
        <x:v>Confirmed by direct visual review of the printed source-photo label on 2026-07-27.</x:v>
      </x:c>
    </x:row>
    <x:row r="14">
      <x:c r="A14" t="str">
        <x:v>Identifier-Based Inference</x:v>
      </x:c>
      <x:c r="B14" t="str">
        <x:v>IMG_6410.JPG</x:v>
      </x:c>
      <x:c r="C14" t="str">
        <x:v>ThinkVision T2254pC</x:v>
      </x:c>
      <x:c r="D14" t="str">
        <x:v>T2254pC</x:v>
      </x:c>
      <x:c r="E14" t="str"/>
      <x:c r="F14" t="str">
        <x:v>VNA21PA9</x:v>
      </x:c>
      <x:c r="G14" t="str"/>
      <x:c r="H14" s="3"/>
      <x:c r="I14" s="4" t="str">
        <x:v>Printed Type/Model line confirmed by direct source-photo review</x:v>
      </x:c>
      <x:c r="J14" s="4" t="str"/>
      <x:c r="K14" s="4" t="str">
        <x:v>Model not confidently extracted; Manufacture date not extracted</x:v>
      </x:c>
      <x:c r="L14" s="4" t="str">
        <x:v>C:\Users\AlejandroAcosta\Documents\ai-workstation\work\monitor_inventory_2026-07-27\monitors\IMG_6410.JPG</x:v>
      </x:c>
      <x:c r="M14" s="4" t="str">
        <x:v>Confirmed</x:v>
      </x:c>
      <x:c r="N14" s="4" t="str">
        <x:v>ThinkVision T2254pC</x:v>
      </x:c>
      <x:c r="O14" s="4" t="str">
        <x:v>T2254pC</x:v>
      </x:c>
      <x:c r="P14" s="4" t="str">
        <x:v>Confirmed by direct visual review of the printed source-photo label on 2026-07-27.</x:v>
      </x:c>
    </x:row>
    <x:row r="15">
      <x:c r="A15" t="str">
        <x:v>Identifier-Based Inference</x:v>
      </x:c>
      <x:c r="B15" t="str">
        <x:v>IMG_6411.JPG</x:v>
      </x:c>
      <x:c r="C15" t="str">
        <x:v>ThinkVision T2254pC</x:v>
      </x:c>
      <x:c r="D15" t="str">
        <x:v>T2254pC</x:v>
      </x:c>
      <x:c r="E15" t="str"/>
      <x:c r="F15" t="str">
        <x:v>VNA26G98</x:v>
      </x:c>
      <x:c r="G15" t="str"/>
      <x:c r="H15" s="3"/>
      <x:c r="I15" s="4" t="str">
        <x:v>Printed Type/Model line confirmed by direct source-photo review</x:v>
      </x:c>
      <x:c r="J15" s="4" t="str"/>
      <x:c r="K15" s="4" t="str">
        <x:v>Model not confidently extracted; Manufacture date not extracted</x:v>
      </x:c>
      <x:c r="L15" s="4" t="str">
        <x:v>C:\Users\AlejandroAcosta\Documents\ai-workstation\work\monitor_inventory_2026-07-27\monitors\IMG_6411.JPG</x:v>
      </x:c>
      <x:c r="M15" s="4" t="str">
        <x:v>Confirmed</x:v>
      </x:c>
      <x:c r="N15" s="4" t="str">
        <x:v>ThinkVision T2254pC</x:v>
      </x:c>
      <x:c r="O15" s="4" t="str">
        <x:v>T2254pC</x:v>
      </x:c>
      <x:c r="P15" s="4" t="str">
        <x:v>Confirmed by direct visual review of the printed source-photo label on 2026-07-27.</x:v>
      </x:c>
    </x:row>
    <x:row r="16">
      <x:c r="A16" t="str">
        <x:v>Identifier-Based Inference</x:v>
      </x:c>
      <x:c r="B16" t="str">
        <x:v>IMG_6416.JPG</x:v>
      </x:c>
      <x:c r="C16" t="str">
        <x:v>ThinkVision T2254pC</x:v>
      </x:c>
      <x:c r="D16" t="str">
        <x:v>T2254pC</x:v>
      </x:c>
      <x:c r="E16" t="str"/>
      <x:c r="F16" t="str">
        <x:v>VNA21PMN</x:v>
      </x:c>
      <x:c r="G16" t="str"/>
      <x:c r="H16" s="3" t="n">
        <x:v>42996</x:v>
      </x:c>
      <x:c r="I16" s="4" t="str">
        <x:v>Printed Type/Model line confirmed by direct source-photo review</x:v>
      </x:c>
      <x:c r="J16" s="4" t="str"/>
      <x:c r="K16" s="4" t="str">
        <x:v>Model not confidently extracted</x:v>
      </x:c>
      <x:c r="L16" s="4" t="str">
        <x:v>C:\Users\AlejandroAcosta\Documents\ai-workstation\work\monitor_inventory_2026-07-27\monitors\IMG_6416.JPG</x:v>
      </x:c>
      <x:c r="M16" s="4" t="str">
        <x:v>Confirmed</x:v>
      </x:c>
      <x:c r="N16" s="4" t="str">
        <x:v>ThinkVision T2254pC</x:v>
      </x:c>
      <x:c r="O16" s="4" t="str">
        <x:v>T2254pC</x:v>
      </x:c>
      <x:c r="P16" s="4" t="str">
        <x:v>Confirmed by direct visual review of the printed source-photo label on 2026-07-27.</x:v>
      </x:c>
    </x:row>
    <x:row r="17">
      <x:c r="A17" t="str">
        <x:v>Identifier-Based Inference</x:v>
      </x:c>
      <x:c r="B17" t="str">
        <x:v>IMG_6424.JPG</x:v>
      </x:c>
      <x:c r="C17" t="str">
        <x:v>ThinkVision T2254pC</x:v>
      </x:c>
      <x:c r="D17" t="str">
        <x:v>T2254pC</x:v>
      </x:c>
      <x:c r="E17" t="str"/>
      <x:c r="F17" t="str">
        <x:v>VNA21PCK</x:v>
      </x:c>
      <x:c r="G17" t="str"/>
      <x:c r="H17" s="3"/>
      <x:c r="I17" s="4" t="str">
        <x:v>Printed Type/Model line confirmed by direct source-photo review</x:v>
      </x:c>
      <x:c r="J17" s="4" t="str"/>
      <x:c r="K17" s="4" t="str">
        <x:v>Model not confidently extracted; Manufacture date not extracted</x:v>
      </x:c>
      <x:c r="L17" s="4" t="str">
        <x:v>C:\Users\AlejandroAcosta\Documents\ai-workstation\work\monitor_inventory_2026-07-27\monitors\IMG_6424.JPG</x:v>
      </x:c>
      <x:c r="M17" s="4" t="str">
        <x:v>Confirmed</x:v>
      </x:c>
      <x:c r="N17" s="4" t="str">
        <x:v>ThinkVision T2254pC</x:v>
      </x:c>
      <x:c r="O17" s="4" t="str">
        <x:v>T2254pC</x:v>
      </x:c>
      <x:c r="P17" s="4" t="str">
        <x:v>Confirmed by direct visual review of the printed source-photo label on 2026-07-27.</x:v>
      </x:c>
    </x:row>
    <x:row r="18">
      <x:c r="A18" t="str">
        <x:v>Identifier-Based Inference</x:v>
      </x:c>
      <x:c r="B18" t="str">
        <x:v>IMG_6442.JPG</x:v>
      </x:c>
      <x:c r="C18" t="str">
        <x:v>ThinkVision T2254pC</x:v>
      </x:c>
      <x:c r="D18" t="str">
        <x:v>T2254pC</x:v>
      </x:c>
      <x:c r="E18" t="str"/>
      <x:c r="F18" t="str">
        <x:v>VNA21PHD</x:v>
      </x:c>
      <x:c r="G18" t="str"/>
      <x:c r="H18" s="3"/>
      <x:c r="I18" s="4" t="str">
        <x:v>Printed Type/Model line confirmed by direct source-photo review</x:v>
      </x:c>
      <x:c r="J18" s="4" t="str"/>
      <x:c r="K18" s="4" t="str">
        <x:v>Model not confidently extracted; Manufacture date not extracted</x:v>
      </x:c>
      <x:c r="L18" s="4" t="str">
        <x:v>C:\Users\AlejandroAcosta\Documents\ai-workstation\work\monitor_inventory_2026-07-27\monitors\IMG_6442.JPG</x:v>
      </x:c>
      <x:c r="M18" s="4" t="str">
        <x:v>Confirmed</x:v>
      </x:c>
      <x:c r="N18" s="4" t="str">
        <x:v>ThinkVision T2254pC</x:v>
      </x:c>
      <x:c r="O18" s="4" t="str">
        <x:v>T2254pC</x:v>
      </x:c>
      <x:c r="P18" s="4" t="str">
        <x:v>Confirmed by direct visual review of the printed source-photo label on 2026-07-27.</x:v>
      </x:c>
    </x:row>
    <x:row r="19">
      <x:c r="A19" t="str">
        <x:v>Identifier-Based Inference</x:v>
      </x:c>
      <x:c r="B19" t="str">
        <x:v>IMG_6445.JPG</x:v>
      </x:c>
      <x:c r="C19" t="str">
        <x:v>ThinkVision T2254pC</x:v>
      </x:c>
      <x:c r="D19" t="str">
        <x:v>T2254pC</x:v>
      </x:c>
      <x:c r="E19" t="str"/>
      <x:c r="F19" t="str">
        <x:v>VNA20MK6</x:v>
      </x:c>
      <x:c r="G19" t="str"/>
      <x:c r="H19" s="3"/>
      <x:c r="I19" s="4" t="str">
        <x:v>Printed Type/Model line confirmed by direct source-photo review</x:v>
      </x:c>
      <x:c r="J19" s="4" t="str"/>
      <x:c r="K19" s="4" t="str">
        <x:v>Model not confidently extracted; Manufacture date not extracted</x:v>
      </x:c>
      <x:c r="L19" s="4" t="str">
        <x:v>C:\Users\AlejandroAcosta\Documents\ai-workstation\work\monitor_inventory_2026-07-27\monitors\IMG_6445.JPG</x:v>
      </x:c>
      <x:c r="M19" s="4" t="str">
        <x:v>Confirmed</x:v>
      </x:c>
      <x:c r="N19" s="4" t="str">
        <x:v>ThinkVision T2254pC</x:v>
      </x:c>
      <x:c r="O19" s="4" t="str">
        <x:v>T2254pC</x:v>
      </x:c>
      <x:c r="P19" s="4" t="str">
        <x:v>Confirmed by direct visual review of the printed source-photo label on 2026-07-27.</x:v>
      </x:c>
    </x:row>
    <x:row r="20">
      <x:c r="A20" t="str">
        <x:v>Fully Unresolved</x:v>
      </x:c>
      <x:c r="B20" t="str">
        <x:v>IMG_6448.JPG</x:v>
      </x:c>
      <x:c r="C20" t="str">
        <x:v>ThinkVision T2254pC</x:v>
      </x:c>
      <x:c r="D20" t="str">
        <x:v>T2254pC</x:v>
      </x:c>
      <x:c r="E20" t="str"/>
      <x:c r="F20" t="str">
        <x:v>VNA21PD4</x:v>
      </x:c>
      <x:c r="G20" t="str"/>
      <x:c r="H20" s="3"/>
      <x:c r="I20" s="4" t="str">
        <x:v>Printed Type/Model line confirmed by direct source-photo review</x:v>
      </x:c>
      <x:c r="J20" s="4" t="str"/>
      <x:c r="K20" s="4" t="str">
        <x:v>Serial and label fields confirmed from the supplied high-legibility review.</x:v>
      </x:c>
      <x:c r="L20" s="4" t="str">
        <x:v>C:\Users\AlejandroAcosta\Documents\ai-workstation\work\monitor_inventory_2026-07-27\monitors\IMG_6448.JPG</x:v>
      </x:c>
      <x:c r="M20" s="4" t="str">
        <x:v>Confirmed</x:v>
      </x:c>
      <x:c r="N20" s="4" t="str">
        <x:v>ThinkVision T2254pC</x:v>
      </x:c>
      <x:c r="O20" s="4" t="str">
        <x:v>T2254pC</x:v>
      </x:c>
      <x:c r="P20" s="4" t="str">
        <x:v>Confirmed by direct visual review of the printed source-photo label on 2026-07-27.</x:v>
      </x:c>
    </x:row>
    <x:row r="21">
      <x:c r="A21" t="str">
        <x:v>Identifier-Based Inference</x:v>
      </x:c>
      <x:c r="B21" t="str">
        <x:v>IMG_6459.JPG</x:v>
      </x:c>
      <x:c r="C21" t="str">
        <x:v>ThinkVision T22i-10</x:v>
      </x:c>
      <x:c r="D21" t="str">
        <x:v>A16215FT0</x:v>
      </x:c>
      <x:c r="E21" t="str"/>
      <x:c r="F21" t="str">
        <x:v>V5Z20744</x:v>
      </x:c>
      <x:c r="G21" t="str"/>
      <x:c r="H21" s="3" t="n">
        <x:v>43311</x:v>
      </x:c>
      <x:c r="I21" s="4" t="str">
        <x:v>Printed Type/Model line confirmed by direct source-photo review</x:v>
      </x:c>
      <x:c r="J21" s="4" t="str"/>
      <x:c r="K21" s="4" t="str">
        <x:v>Model not confidently extracted</x:v>
      </x:c>
      <x:c r="L21" s="4" t="str">
        <x:v>C:\Users\AlejandroAcosta\Documents\ai-workstation\work\monitor_inventory_2026-07-27\monitors\IMG_6459.JPG</x:v>
      </x:c>
      <x:c r="M21" s="4" t="str">
        <x:v>Confirmed</x:v>
      </x:c>
      <x:c r="N21" s="4" t="str">
        <x:v>ThinkVision T22i-10</x:v>
      </x:c>
      <x:c r="O21" s="4" t="str">
        <x:v>A16215FT0</x:v>
      </x:c>
      <x:c r="P21" s="4" t="str">
        <x:v>Confirmed by direct visual review of the printed source-photo label on 2026-07-27.</x:v>
      </x:c>
    </x:row>
    <x:row r="22">
      <x:c r="A22" t="str">
        <x:v>Identifier-Based Inference</x:v>
      </x:c>
      <x:c r="B22" t="str">
        <x:v>IMG_6463.JPG</x:v>
      </x:c>
      <x:c r="C22" t="str">
        <x:v>ThinkVision T2254pC</x:v>
      </x:c>
      <x:c r="D22" t="str">
        <x:v>T2254pC</x:v>
      </x:c>
      <x:c r="E22" t="str"/>
      <x:c r="F22" t="str">
        <x:v>VNA21PQ2</x:v>
      </x:c>
      <x:c r="G22" t="str"/>
      <x:c r="H22" s="3"/>
      <x:c r="I22" s="4" t="str">
        <x:v>Printed Type/Model line confirmed by direct source-photo review</x:v>
      </x:c>
      <x:c r="J22" s="4" t="str"/>
      <x:c r="K22" s="4" t="str">
        <x:v>Model not confidently extracted; Manufacture date not extracted</x:v>
      </x:c>
      <x:c r="L22" s="4" t="str">
        <x:v>C:\Users\AlejandroAcosta\Documents\ai-workstation\work\monitor_inventory_2026-07-27\monitors\IMG_6463.JPG</x:v>
      </x:c>
      <x:c r="M22" s="4" t="str">
        <x:v>Confirmed</x:v>
      </x:c>
      <x:c r="N22" s="4" t="str">
        <x:v>ThinkVision T2254pC</x:v>
      </x:c>
      <x:c r="O22" s="4" t="str">
        <x:v>T2254pC</x:v>
      </x:c>
      <x:c r="P22" s="4" t="str">
        <x:v>Confirmed by direct visual review of the printed source-photo label on 2026-07-27.</x:v>
      </x:c>
    </x:row>
  </x:sheetData>
  <x:conditionalFormatting sqref="A2:A22">
    <x:cfRule type="containsText" dxfId="0" priority="1" operator="containsText" text="Fully Unresolved"/>
    <x:cfRule type="containsText" dxfId="1" priority="2" operator="containsText" text="Identifier-Based Inference"/>
  </x:conditionalFormatting>
  <x:dataValidations count="1">
    <x:dataValidation type="list" sqref="M2:M22">
      <x:formula1>"Pending,Confirmed,Corrected,Unresolved"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59f848e1c0466e"/>
  </x:tableParts>
</x:worksheet>
</file>