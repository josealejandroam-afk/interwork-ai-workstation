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8e2a9c326bd4e44" /></Relationships>
</file>

<file path=xl/workbook.xml><?xml version="1.0" encoding="utf-8"?>
<x:workbook xmlns:x="http://schemas.openxmlformats.org/spreadsheetml/2006/main">
  <x:sheets>
    <x:sheet xmlns:r="http://schemas.openxmlformats.org/officeDocument/2006/relationships" name="Summary" sheetId="1" r:id="R8ac580617f0d4b35"/>
    <x:sheet xmlns:r="http://schemas.openxmlformats.org/officeDocument/2006/relationships" name="Inventory" sheetId="2" r:id="R14c0fe38d83d4186"/>
    <x:sheet xmlns:r="http://schemas.openxmlformats.org/officeDocument/2006/relationships" name="Needs Review" sheetId="3" r:id="R63baae6e3d9c4bc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7">
    <x:font>
      <x:sz val="11"/>
      <x:name val="Carlito"/>
    </x:font>
    <x:font>
      <x:b/>
      <x:sz val="11"/>
      <x:color rgb="FFFFFFFF"/>
      <x:name val="Carlito"/>
    </x:font>
    <x:font>
      <x:sz val="11"/>
      <x:color rgb="FF1F2937"/>
      <x:name val="Carlito"/>
    </x:font>
    <x:font>
      <x:b/>
      <x:sz val="18"/>
      <x:color rgb="FFFFFFFF"/>
      <x:name val="Carlito"/>
    </x:font>
    <x:font>
      <x:b/>
      <x:sz val="11"/>
      <x:color rgb="FF17324D"/>
      <x:name val="Carlito"/>
    </x:font>
    <x:font>
      <x:b/>
      <x:sz val="14"/>
      <x:color rgb="FF17324D"/>
      <x:name val="Carlito"/>
    </x:font>
    <x:font>
      <x:sz val="11"/>
      <x:color rgb="FF9A3412"/>
      <x:name val="Carlito"/>
    </x:font>
  </x:fonts>
  <x:fills count="6">
    <x:fill>
      <x:patternFill patternType="none"/>
    </x:fill>
    <x:fill>
      <x:patternFill patternType="gray125"/>
    </x:fill>
    <x:fill>
      <x:patternFill patternType="solid">
        <x:fgColor rgb="FF17324D"/>
      </x:patternFill>
    </x:fill>
    <x:fill>
      <x:patternFill patternType="solid">
        <x:fgColor rgb="FF92400E"/>
      </x:patternFill>
    </x:fill>
    <x:fill>
      <x:patternFill patternType="solid">
        <x:fgColor rgb="FFDCE6F1"/>
      </x:patternFill>
    </x:fill>
    <x:fill>
      <x:patternFill patternType="solid">
        <x:fgColor rgb="FFFFF7ED"/>
      </x:patternFill>
    </x:fill>
  </x:fills>
  <x:borders count="21">
    <x:border/>
    <x:border>
      <x:bottom style="thin">
        <x:color rgb="FFE5E7EB"/>
      </x:bottom>
    </x:border>
    <x:border>
      <x:top style="thin">
        <x:color rgb="FFE5E7EB"/>
      </x:top>
      <x:bottom style="thin">
        <x:color rgb="FFE5E7EB"/>
      </x:bottom>
    </x:border>
    <x:border>
      <x:top style="thin">
        <x:color rgb="FFE5E7EB"/>
      </x:top>
      <x:bottom style="thin">
        <x:color rgb="FFCBD5E1"/>
      </x:bottom>
    </x:border>
    <x:border>
      <x:bottom style="thin">
        <x:color rgb="FFFDE68A"/>
      </x:bottom>
    </x:border>
    <x:border>
      <x:top style="thin">
        <x:color rgb="FFFDE68A"/>
      </x:top>
      <x:bottom style="thin">
        <x:color rgb="FFFDE68A"/>
      </x:bottom>
    </x:border>
    <x:border>
      <x:top style="thin">
        <x:color rgb="FFFDE68A"/>
      </x:top>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left style="thin">
        <x:color rgb="FFFDBA74"/>
      </x:left>
      <x:top style="thin">
        <x:color rgb="FFFDBA74"/>
      </x:top>
    </x:border>
    <x:border>
      <x:top style="thin">
        <x:color rgb="FFFDBA74"/>
      </x:top>
    </x:border>
    <x:border>
      <x:right style="thin">
        <x:color rgb="FFFDBA74"/>
      </x:right>
      <x:top style="thin">
        <x:color rgb="FFFDBA74"/>
      </x:top>
    </x:border>
    <x:border>
      <x:left style="thin">
        <x:color rgb="FFFDBA74"/>
      </x:left>
    </x:border>
    <x:border>
      <x:right style="thin">
        <x:color rgb="FFFDBA74"/>
      </x:right>
    </x:border>
    <x:border>
      <x:left style="thin">
        <x:color rgb="FFFDBA74"/>
      </x:left>
      <x:bottom style="thin">
        <x:color rgb="FFFDBA74"/>
      </x:bottom>
    </x:border>
    <x:border>
      <x:bottom style="thin">
        <x:color rgb="FFFDBA74"/>
      </x:bottom>
    </x:border>
    <x:border>
      <x:right style="thin">
        <x:color rgb="FFFDBA74"/>
      </x:right>
      <x:bottom style="thin">
        <x:color rgb="FFFDBA74"/>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top"/>
    </x:xf>
    <x:xf numFmtId="200" fontId="2" fillId="0" borderId="0" xfId="0" applyNumberFormat="1" applyFont="1" applyFill="1" applyBorder="1" applyAlignment="1">
      <x:alignment vertical="top"/>
    </x:xf>
    <x:xf numFmtId="0" fontId="2" fillId="0" borderId="0" xfId="0" applyNumberFormat="1" applyFont="1" applyFill="1" applyBorder="1" applyAlignment="1">
      <x:alignment horizontal="center" vertical="top"/>
    </x:xf>
    <x:xf numFmtId="0" fontId="1" fillId="2" borderId="1" xfId="0" applyNumberFormat="1" applyFont="1" applyFill="1" applyBorder="1" applyAlignment="1">
      <x:alignment vertical="center"/>
    </x:xf>
    <x:xf numFmtId="0" fontId="2" fillId="0" borderId="2" xfId="0" applyNumberFormat="1" applyFont="1" applyFill="1" applyBorder="1" applyAlignment="1">
      <x:alignment vertical="top"/>
    </x:xf>
    <x:xf numFmtId="200" fontId="2" fillId="0" borderId="2" xfId="0" applyNumberFormat="1" applyFont="1" applyFill="1" applyBorder="1" applyAlignment="1">
      <x:alignment vertical="top"/>
    </x:xf>
    <x:xf numFmtId="0" fontId="2" fillId="0" borderId="2" xfId="0" applyNumberFormat="1" applyFont="1" applyFill="1" applyBorder="1" applyAlignment="1">
      <x:alignment horizontal="center" vertical="top"/>
    </x:xf>
    <x:xf numFmtId="0" fontId="2" fillId="0" borderId="3" xfId="0" applyNumberFormat="1" applyFont="1" applyFill="1" applyBorder="1" applyAlignment="1">
      <x:alignment vertical="top"/>
    </x:xf>
    <x:xf numFmtId="200" fontId="2" fillId="0" borderId="3" xfId="0" applyNumberFormat="1" applyFont="1" applyFill="1" applyBorder="1" applyAlignment="1">
      <x:alignment vertical="top"/>
    </x:xf>
    <x:xf numFmtId="0" fontId="2" fillId="0" borderId="3" xfId="0" applyNumberFormat="1" applyFont="1" applyFill="1" applyBorder="1" applyAlignment="1">
      <x:alignment horizontal="center" vertical="top"/>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200" fontId="0" fillId="0" borderId="0" xfId="0" applyNumberFormat="1" applyFont="1" applyFill="1" applyBorder="1"/>
    <x:xf numFmtId="0" fontId="1" fillId="3" borderId="4" xfId="0" applyNumberFormat="1" applyFont="1" applyFill="1" applyBorder="1"/>
    <x:xf numFmtId="0" fontId="0" fillId="0" borderId="5" xfId="0" applyNumberFormat="1" applyFont="1" applyFill="1" applyBorder="1"/>
    <x:xf numFmtId="200" fontId="0"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5" fillId="0" borderId="10" xfId="0" applyNumberFormat="1" applyFont="1" applyFill="1" applyBorder="1"/>
    <x:xf numFmtId="0" fontId="5" fillId="0" borderId="12" xfId="0" applyNumberFormat="1" applyFont="1" applyFill="1" applyBorder="1"/>
    <x:xf numFmtId="201" fontId="5" fillId="0" borderId="10" xfId="0" applyNumberFormat="1" applyFont="1" applyFill="1" applyBorder="1"/>
    <x:xf numFmtId="201" fontId="5" fillId="0" borderId="12" xfId="0" applyNumberFormat="1" applyFont="1" applyFill="1" applyBorder="1"/>
    <x:xf numFmtId="201" fontId="5" fillId="0" borderId="10" xfId="0" applyNumberFormat="1" applyFont="1" applyFill="1" applyBorder="1" applyAlignment="1">
      <x:alignment horizontal="right"/>
    </x:xf>
    <x:xf numFmtId="201" fontId="5" fillId="0" borderId="12" xfId="0" applyNumberFormat="1" applyFont="1" applyFill="1" applyBorder="1" applyAlignment="1">
      <x:alignment horizontal="right"/>
    </x:xf>
    <x:xf numFmtId="201" fontId="0" fillId="0" borderId="10" xfId="0" applyNumberFormat="1" applyFont="1" applyFill="1" applyBorder="1"/>
    <x:xf numFmtId="201" fontId="0" fillId="0" borderId="12"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13" xfId="0" applyNumberFormat="1" applyFont="1" applyFill="1" applyBorder="1"/>
    <x:xf numFmtId="0" fontId="6" fillId="5" borderId="14" xfId="0" applyNumberFormat="1" applyFont="1" applyFill="1" applyBorder="1"/>
    <x:xf numFmtId="0" fontId="6" fillId="5" borderId="15" xfId="0" applyNumberFormat="1" applyFont="1" applyFill="1" applyBorder="1"/>
    <x:xf numFmtId="0" fontId="6" fillId="5" borderId="16" xfId="0" applyNumberFormat="1" applyFont="1" applyFill="1" applyBorder="1"/>
    <x:xf numFmtId="0" fontId="6" fillId="5" borderId="17" xfId="0" applyNumberFormat="1" applyFont="1" applyFill="1" applyBorder="1"/>
    <x:xf numFmtId="0" fontId="6" fillId="5" borderId="18" xfId="0" applyNumberFormat="1" applyFont="1" applyFill="1" applyBorder="1"/>
    <x:xf numFmtId="0" fontId="6" fillId="5" borderId="19" xfId="0" applyNumberFormat="1" applyFont="1" applyFill="1" applyBorder="1"/>
    <x:xf numFmtId="0" fontId="6" fillId="5" borderId="20" xfId="0" applyNumberFormat="1" applyFont="1" applyFill="1" applyBorder="1"/>
    <x:xf numFmtId="0" fontId="6" fillId="5" borderId="13" xfId="0" applyNumberFormat="1" applyFont="1" applyFill="1" applyBorder="1" applyAlignment="1">
      <x:alignment wrapText="1"/>
    </x:xf>
    <x:xf numFmtId="0" fontId="6" fillId="5" borderId="14" xfId="0" applyNumberFormat="1" applyFont="1" applyFill="1" applyBorder="1" applyAlignment="1">
      <x:alignment wrapText="1"/>
    </x:xf>
    <x:xf numFmtId="0" fontId="6" fillId="5" borderId="15" xfId="0" applyNumberFormat="1" applyFont="1" applyFill="1" applyBorder="1" applyAlignment="1">
      <x:alignment wrapText="1"/>
    </x:xf>
    <x:xf numFmtId="0" fontId="6" fillId="5" borderId="16"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17" xfId="0" applyNumberFormat="1" applyFont="1" applyFill="1" applyBorder="1" applyAlignment="1">
      <x:alignment wrapText="1"/>
    </x:xf>
    <x:xf numFmtId="0" fontId="6" fillId="5" borderId="18" xfId="0" applyNumberFormat="1" applyFont="1" applyFill="1" applyBorder="1" applyAlignment="1">
      <x:alignment wrapText="1"/>
    </x:xf>
    <x:xf numFmtId="0" fontId="6" fillId="5" borderId="19" xfId="0" applyNumberFormat="1" applyFont="1" applyFill="1" applyBorder="1" applyAlignment="1">
      <x:alignment wrapText="1"/>
    </x:xf>
    <x:xf numFmtId="0" fontId="6" fillId="5" borderId="20" xfId="0" applyNumberFormat="1" applyFont="1" applyFill="1" applyBorder="1" applyAlignment="1">
      <x:alignment wrapText="1"/>
    </x:xf>
    <x:xf numFmtId="0" fontId="6" fillId="5" borderId="13" xfId="0" applyNumberFormat="1" applyFont="1" applyFill="1" applyBorder="1" applyAlignment="1">
      <x:alignment vertical="top" wrapText="1"/>
    </x:xf>
    <x:xf numFmtId="0" fontId="6" fillId="5" borderId="14" xfId="0" applyNumberFormat="1" applyFont="1" applyFill="1" applyBorder="1" applyAlignment="1">
      <x:alignment vertical="top" wrapText="1"/>
    </x:xf>
    <x:xf numFmtId="0" fontId="6" fillId="5" borderId="15" xfId="0" applyNumberFormat="1" applyFont="1" applyFill="1" applyBorder="1" applyAlignment="1">
      <x:alignment vertical="top" wrapText="1"/>
    </x:xf>
    <x:xf numFmtId="0" fontId="6" fillId="5" borderId="16"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17" xfId="0" applyNumberFormat="1" applyFont="1" applyFill="1" applyBorder="1" applyAlignment="1">
      <x:alignment vertical="top" wrapText="1"/>
    </x:xf>
    <x:xf numFmtId="0" fontId="6" fillId="5" borderId="18" xfId="0" applyNumberFormat="1" applyFont="1" applyFill="1" applyBorder="1" applyAlignment="1">
      <x:alignment vertical="top" wrapText="1"/>
    </x:xf>
    <x:xf numFmtId="0" fontId="6" fillId="5" borderId="19" xfId="0" applyNumberFormat="1" applyFont="1" applyFill="1" applyBorder="1" applyAlignment="1">
      <x:alignment vertical="top" wrapText="1"/>
    </x:xf>
    <x:xf numFmtId="0" fontId="6" fillId="5" borderId="20" xfId="0" applyNumberFormat="1" applyFont="1" applyFill="1" applyBorder="1" applyAlignment="1">
      <x:alignment vertical="top" wrapText="1"/>
    </x:xf>
  </x:cellXfs>
  <x:cellStyles count="1">
    <x:cellStyle name="Normal" xfId="0"/>
  </x:cellStyles>
  <x:dxfs count="2">
    <x:dxf>
      <x:font>
        <x:b/>
        <x:color rgb="FF92400E"/>
      </x:font>
      <x:fill>
        <x:patternFill patternType="solid">
          <x:bgColor rgb="FFFEF3C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905c6c5c554ed9" /><Relationship Type="http://schemas.openxmlformats.org/officeDocument/2006/relationships/theme" Target="/xl/theme/theme1.xml" Id="Rd80dd83d49474ed2" /><Relationship Type="http://schemas.openxmlformats.org/officeDocument/2006/relationships/sharedStrings" Target="/xl/sharedStrings.xml" Id="R082bc555c52d4984" /><Relationship Type="http://schemas.openxmlformats.org/officeDocument/2006/relationships/worksheet" Target="/xl/worksheets/sheet1.xml" Id="R8ac580617f0d4b35" /><Relationship Type="http://schemas.openxmlformats.org/officeDocument/2006/relationships/worksheet" Target="/xl/worksheets/sheet2.xml" Id="R14c0fe38d83d4186" /><Relationship Type="http://schemas.openxmlformats.org/officeDocument/2006/relationships/worksheet" Target="/xl/worksheets/sheet3.xml" Id="R63baae6e3d9c4bc2" /><Relationship Type="http://schemas.microsoft.com/office/2017/10/relationships/person" Target="/xl/persons/person.xml" Id="R75fc0ffa32c542fc" /></Relationships>
</file>

<file path=xl/persons/person.xml><?xml version="1.0" encoding="utf-8"?>
<xltc:personList xmlns:xltc="http://schemas.microsoft.com/office/spreadsheetml/2018/threadedcomments">
  <xltc:person displayName="Alejandro Acosta" id="{851C8915-F6E9-4122-940D-B42AEBC780E9}"/>
</xltc:personList>
</file>

<file path=xl/tables/table1.xml><?xml version="1.0" encoding="utf-8"?>
<x:table xmlns:x="http://schemas.openxmlformats.org/spreadsheetml/2006/main" id="1" name="MonitorInventory" displayName="MonitorInventory" ref="A1:K191" headerRowCount="1" totalsRowCount="0" totalsRowShown="0">
  <x:tableColumns count="11">
    <x:tableColumn id="1" name="Photo File"/>
    <x:tableColumn id="2" name="Manufacturer"/>
    <x:tableColumn id="3" name="Model / Type"/>
    <x:tableColumn id="4" name="MTM"/>
    <x:tableColumn id="5" name="Serial Number"/>
    <x:tableColumn id="6" name="FRU Number"/>
    <x:tableColumn id="7" name="Manufacture Date"/>
    <x:tableColumn id="8" name="Confidence"/>
    <x:tableColumn id="9" name="Review Status"/>
    <x:tableColumn id="10" name="Review Notes"/>
    <x:tableColumn id="11" name="Source Photo Path"/>
  </x:tableColumns>
  <x:tableStyleInfo name="TableStyleMedium2" showFirstColumn="0" showLastColumn="0" showRowStripes="1" showColumnStripes="0"/>
</x:table>
</file>

<file path=xl/tables/table2.xml><?xml version="1.0" encoding="utf-8"?>
<x:table xmlns:x="http://schemas.openxmlformats.org/spreadsheetml/2006/main" id="2" name="MonitorReview" displayName="MonitorReview" ref="A1:K37" headerRowCount="1" totalsRowCount="0" totalsRowShown="0">
  <x:tableColumns count="11">
    <x:tableColumn id="1" name="Photo File"/>
    <x:tableColumn id="2" name="Manufacturer"/>
    <x:tableColumn id="3" name="Model / Type"/>
    <x:tableColumn id="4" name="MTM"/>
    <x:tableColumn id="5" name="Serial Number"/>
    <x:tableColumn id="6" name="FRU Number"/>
    <x:tableColumn id="7" name="Manufacture Date"/>
    <x:tableColumn id="8" name="Confidence"/>
    <x:tableColumn id="9" name="Review Status"/>
    <x:tableColumn id="10" name="Review Notes"/>
    <x:tableColumn id="11" name="Source Photo 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09124ead4743a8" /></Relationships>
</file>

<file path=xl/worksheets/_rels/sheet3.xml.rels>&#65279;<?xml version="1.0" encoding="utf-8"?><Relationships xmlns="http://schemas.openxmlformats.org/package/2006/relationships"><Relationship Type="http://schemas.openxmlformats.org/officeDocument/2006/relationships/table" Target="/xl/tables/table2.xml" Id="Re46d9b4825a34a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20" hidden="0" customWidth="1"/>
    <x:col min="5" max="5" width="18" hidden="0" customWidth="1"/>
    <x:col min="6" max="6" width="18" hidden="0" customWidth="1"/>
  </x:cols>
  <x:sheetData>
    <x:row r="1" ht="36" customHeight="1">
      <x:c r="A1" s="29" t="str">
        <x:v>Monitor Photo Inventory</x:v>
      </x:c>
      <x:c r="B1" s="29"/>
      <x:c r="C1" s="29"/>
      <x:c r="D1" s="29"/>
      <x:c r="E1" s="29"/>
      <x:c r="F1" s="29"/>
    </x:row>
    <x:row r="3">
      <x:c r="A3" s="32" t="str">
        <x:v>Metric</x:v>
      </x:c>
      <x:c r="B3" s="33" t="str">
        <x:v>Count</x:v>
      </x:c>
      <x:c r="D3" s="32" t="str">
        <x:v>Model / Type</x:v>
      </x:c>
      <x:c r="E3" s="33" t="str">
        <x:v>Photo Count</x:v>
      </x:c>
    </x:row>
    <x:row r="4">
      <x:c r="A4" s="34" t="str">
        <x:v>Photos processed</x:v>
      </x:c>
      <x:c r="B4" s="42" t="n">
        <x:f>COUNTA('Inventory'!$A$2:$A$191)</x:f>
        <x:v>190</x:v>
      </x:c>
      <x:c r="D4" s="34" t="str">
        <x:v>T2254pC</x:v>
      </x:c>
      <x:c r="E4" s="44" t="n">
        <x:f>COUNTIF('Inventory'!$C$2:$C$191,D4)</x:f>
        <x:v>132</x:v>
      </x:c>
    </x:row>
    <x:row r="5">
      <x:c r="A5" s="34" t="str">
        <x:v>Serials extracted</x:v>
      </x:c>
      <x:c r="B5" s="42" t="n">
        <x:f>B4-COUNTBLANK('Inventory'!$E$2:$E$191)</x:f>
        <x:v>184</x:v>
      </x:c>
      <x:c r="D5" s="34" t="str">
        <x:v>T22i-10</x:v>
      </x:c>
      <x:c r="E5" s="44" t="n">
        <x:f>COUNTIF('Inventory'!$C$2:$C$191,D5)</x:f>
        <x:v>21</x:v>
      </x:c>
    </x:row>
    <x:row r="6">
      <x:c r="A6" s="34" t="str">
        <x:v>Records ready</x:v>
      </x:c>
      <x:c r="B6" s="42" t="n">
        <x:f>COUNTIF('Inventory'!$I$2:$I$191,"Ready")</x:f>
        <x:v>154</x:v>
      </x:c>
      <x:c r="D6" s="34" t="str">
        <x:v>D20215FT0</x:v>
      </x:c>
      <x:c r="E6" s="44" t="n">
        <x:f>COUNTIF('Inventory'!$C$2:$C$191,D6)</x:f>
        <x:v>5</x:v>
      </x:c>
    </x:row>
    <x:row r="7">
      <x:c r="A7" s="36" t="str">
        <x:v>Needs review</x:v>
      </x:c>
      <x:c r="B7" s="43" t="n">
        <x:f>COUNTIF('Inventory'!$I$2:$I$191,"Needs Review")</x:f>
        <x:v>36</x:v>
      </x:c>
      <x:c r="D7" s="34" t="str">
        <x:v>D22238QP0</x:v>
      </x:c>
      <x:c r="E7" s="44" t="n">
        <x:f>COUNTIF('Inventory'!$C$2:$C$191,D7)</x:f>
        <x:v>9</x:v>
      </x:c>
    </x:row>
    <x:row r="8">
      <x:c r="D8" s="34" t="str">
        <x:v>Other extracted</x:v>
      </x:c>
      <x:c r="E8" s="44" t="n">
        <x:f>$B$4-SUM(E4:E7)-E9</x:f>
        <x:v>2</x:v>
      </x:c>
    </x:row>
    <x:row r="9">
      <x:c r="D9" s="36" t="str">
        <x:v>Unresolved</x:v>
      </x:c>
      <x:c r="E9" s="45" t="n">
        <x:f>COUNTBLANK('Inventory'!$C$2:$C$191)</x:f>
        <x:v>21</x:v>
      </x:c>
    </x:row>
    <x:row r="10">
      <x:c r="A10" s="65" t="str">
        <x:v>Review guidance: records marked Needs Review are incomplete or contain fields that were not legible enough to confirm. Blank serial numbers were intentionally left blank rather than guessed. Use the Source Photo Path to open the corresponding original image.</x:v>
      </x:c>
      <x:c r="B10" s="66"/>
      <x:c r="C10" s="66"/>
      <x:c r="D10" s="66"/>
      <x:c r="E10" s="66"/>
      <x:c r="F10" s="67"/>
    </x:row>
    <x:row r="11">
      <x:c r="A11" s="68"/>
      <x:c r="B11" s="69"/>
      <x:c r="C11" s="69"/>
      <x:c r="D11" s="69"/>
      <x:c r="E11" s="69"/>
      <x:c r="F11" s="70"/>
    </x:row>
    <x:row r="12">
      <x:c r="A12" s="71"/>
      <x:c r="B12" s="72"/>
      <x:c r="C12" s="72"/>
      <x:c r="D12" s="72"/>
      <x:c r="E12" s="72"/>
      <x:c r="F12" s="73"/>
    </x:row>
  </x:sheetData>
  <x:mergeCells>
    <x:mergeCell ref="A1:F1"/>
    <x:mergeCell ref="A10: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8" hidden="0" customWidth="1"/>
    <x:col min="4" max="4" width="18" hidden="0" customWidth="1"/>
    <x:col min="5" max="5" width="18" hidden="0" customWidth="1"/>
    <x:col min="6" max="6" width="16" hidden="0" customWidth="1"/>
    <x:col min="7" max="7" width="16" hidden="0" customWidth="1"/>
    <x:col min="8" max="8" width="12" hidden="0" customWidth="1"/>
    <x:col min="9" max="9" width="16" hidden="0" customWidth="1"/>
    <x:col min="10" max="10" width="34" hidden="0" customWidth="1"/>
    <x:col min="11" max="11" width="62" hidden="0" customWidth="1"/>
  </x:cols>
  <x:sheetData>
    <x:row r="1" ht="28" customHeight="1">
      <x:c r="A1" s="8" t="str">
        <x:v>Photo File</x:v>
      </x:c>
      <x:c r="B1" s="8" t="str">
        <x:v>Manufacturer</x:v>
      </x:c>
      <x:c r="C1" s="8" t="str">
        <x:v>Model / Type</x:v>
      </x:c>
      <x:c r="D1" s="8" t="str">
        <x:v>MTM</x:v>
      </x:c>
      <x:c r="E1" s="8" t="str">
        <x:v>Serial Number</x:v>
      </x:c>
      <x:c r="F1" s="8" t="str">
        <x:v>FRU Number</x:v>
      </x:c>
      <x:c r="G1" s="8" t="str">
        <x:v>Manufacture Date</x:v>
      </x:c>
      <x:c r="H1" s="8" t="str">
        <x:v>Confidence</x:v>
      </x:c>
      <x:c r="I1" s="8" t="str">
        <x:v>Review Status</x:v>
      </x:c>
      <x:c r="J1" s="8" t="str">
        <x:v>Review Notes</x:v>
      </x:c>
      <x:c r="K1" s="8" t="str">
        <x:v>Source Photo Path</x:v>
      </x:c>
    </x:row>
    <x:row r="2">
      <x:c r="A2" s="9" t="str">
        <x:v>IMG_6251.JPG</x:v>
      </x:c>
      <x:c r="B2" s="9" t="str">
        <x:v>Lenovo</x:v>
      </x:c>
      <x:c r="C2" s="9" t="str">
        <x:v>T22i-10</x:v>
      </x:c>
      <x:c r="D2" s="9" t="str">
        <x:v>61A9-MAR1-WW</x:v>
      </x:c>
      <x:c r="E2" s="9" t="str">
        <x:v>V5MW1699</x:v>
      </x:c>
      <x:c r="F2" s="9" t="str">
        <x:v>00PC160</x:v>
      </x:c>
      <x:c r="G2" s="10" t="n">
        <x:v>43733</x:v>
      </x:c>
      <x:c r="H2" s="11" t="str">
        <x:v>High</x:v>
      </x:c>
      <x:c r="I2" s="11" t="str">
        <x:v>Ready</x:v>
      </x:c>
      <x:c r="J2" s="15" t="str"/>
      <x:c r="K2" s="15" t="str">
        <x:v>C:\Users\AlejandroAcosta\Documents\ai-workstation\work\monitor_inventory_2026-07-27\monitors\IMG_6251.JPG</x:v>
      </x:c>
    </x:row>
    <x:row r="3">
      <x:c r="A3" s="9" t="str">
        <x:v>IMG_6253.JPG</x:v>
      </x:c>
      <x:c r="B3" s="9" t="str">
        <x:v>Lenovo</x:v>
      </x:c>
      <x:c r="C3" s="9" t="str">
        <x:v>D22238QP0</x:v>
      </x:c>
      <x:c r="D3" s="9" t="str">
        <x:v>63B3-GAR6-WW</x:v>
      </x:c>
      <x:c r="E3" s="9" t="str">
        <x:v>V9-OEH8FW</x:v>
      </x:c>
      <x:c r="F3" s="9" t="str">
        <x:v>5D11J31074</x:v>
      </x:c>
      <x:c r="G3" s="10" t="n">
        <x:v>45659</x:v>
      </x:c>
      <x:c r="H3" s="11" t="str">
        <x:v>High</x:v>
      </x:c>
      <x:c r="I3" s="11" t="str">
        <x:v>Ready</x:v>
      </x:c>
      <x:c r="J3" s="15" t="str"/>
      <x:c r="K3" s="15" t="str">
        <x:v>C:\Users\AlejandroAcosta\Documents\ai-workstation\work\monitor_inventory_2026-07-27\monitors\IMG_6253.JPG</x:v>
      </x:c>
    </x:row>
    <x:row r="4">
      <x:c r="A4" s="9" t="str">
        <x:v>IMG_6255.JPG</x:v>
      </x:c>
      <x:c r="B4" s="9" t="str">
        <x:v>Lenovo</x:v>
      </x:c>
      <x:c r="C4" s="9" t="str">
        <x:v>T2254pC</x:v>
      </x:c>
      <x:c r="D4" s="9" t="str">
        <x:v>60E1-MAR2-WW</x:v>
      </x:c>
      <x:c r="E4" s="9" t="str">
        <x:v>VNA21PDV</x:v>
      </x:c>
      <x:c r="F4" s="9" t="str">
        <x:v>00PC018</x:v>
      </x:c>
      <x:c r="G4" s="10" t="n">
        <x:v>42996</x:v>
      </x:c>
      <x:c r="H4" s="11" t="str">
        <x:v>High</x:v>
      </x:c>
      <x:c r="I4" s="11" t="str">
        <x:v>Ready</x:v>
      </x:c>
      <x:c r="J4" s="15" t="str"/>
      <x:c r="K4" s="15" t="str">
        <x:v>C:\Users\AlejandroAcosta\Documents\ai-workstation\work\monitor_inventory_2026-07-27\monitors\IMG_6255.JPG</x:v>
      </x:c>
    </x:row>
    <x:row r="5">
      <x:c r="A5" s="9" t="str">
        <x:v>IMG_6256.JPG</x:v>
      </x:c>
      <x:c r="B5" s="9" t="str">
        <x:v>Lenovo</x:v>
      </x:c>
      <x:c r="C5" s="9" t="str">
        <x:v>T2254pC</x:v>
      </x:c>
      <x:c r="D5" s="9" t="str">
        <x:v>60E1-MAR2-WW</x:v>
      </x:c>
      <x:c r="E5" s="9" t="str">
        <x:v>VNA21PCB</x:v>
      </x:c>
      <x:c r="F5" s="9" t="str">
        <x:v>00PC018</x:v>
      </x:c>
      <x:c r="G5" s="10" t="n">
        <x:v>42996</x:v>
      </x:c>
      <x:c r="H5" s="11" t="str">
        <x:v>High</x:v>
      </x:c>
      <x:c r="I5" s="11" t="str">
        <x:v>Ready</x:v>
      </x:c>
      <x:c r="J5" s="15" t="str"/>
      <x:c r="K5" s="15" t="str">
        <x:v>C:\Users\AlejandroAcosta\Documents\ai-workstation\work\monitor_inventory_2026-07-27\monitors\IMG_6256.JPG</x:v>
      </x:c>
    </x:row>
    <x:row r="6">
      <x:c r="A6" s="9" t="str">
        <x:v>IMG_6258.JPG</x:v>
      </x:c>
      <x:c r="B6" s="9" t="str">
        <x:v>Lenovo</x:v>
      </x:c>
      <x:c r="C6" s="9" t="str">
        <x:v>T2254pC</x:v>
      </x:c>
      <x:c r="D6" s="9" t="str">
        <x:v>60E1-MAR2-WW</x:v>
      </x:c>
      <x:c r="E6" s="9" t="str">
        <x:v>VNA20MK9</x:v>
      </x:c>
      <x:c r="F6" s="9" t="str">
        <x:v>00PC018</x:v>
      </x:c>
      <x:c r="G6" s="10"/>
      <x:c r="H6" s="11" t="str">
        <x:v>High</x:v>
      </x:c>
      <x:c r="I6" s="11" t="str">
        <x:v>Needs Review</x:v>
      </x:c>
      <x:c r="J6" s="15" t="str">
        <x:v>Manufacture date not extracted</x:v>
      </x:c>
      <x:c r="K6" s="15" t="str">
        <x:v>C:\Users\AlejandroAcosta\Documents\ai-workstation\work\monitor_inventory_2026-07-27\monitors\IMG_6258.JPG</x:v>
      </x:c>
    </x:row>
    <x:row r="7">
      <x:c r="A7" s="9" t="str">
        <x:v>IMG_6260.JPG</x:v>
      </x:c>
      <x:c r="B7" s="9" t="str">
        <x:v>Lenovo</x:v>
      </x:c>
      <x:c r="C7" s="9" t="str">
        <x:v>T2254pC</x:v>
      </x:c>
      <x:c r="D7" s="9" t="str">
        <x:v>60E1-MAR2-WW</x:v>
      </x:c>
      <x:c r="E7" s="9" t="str">
        <x:v>VNA21PDB</x:v>
      </x:c>
      <x:c r="F7" s="9" t="str">
        <x:v>00PC018</x:v>
      </x:c>
      <x:c r="G7" s="10" t="n">
        <x:v>42996</x:v>
      </x:c>
      <x:c r="H7" s="11" t="str">
        <x:v>High</x:v>
      </x:c>
      <x:c r="I7" s="11" t="str">
        <x:v>Ready</x:v>
      </x:c>
      <x:c r="J7" s="15" t="str"/>
      <x:c r="K7" s="15" t="str">
        <x:v>C:\Users\AlejandroAcosta\Documents\ai-workstation\work\monitor_inventory_2026-07-27\monitors\IMG_6260.JPG</x:v>
      </x:c>
    </x:row>
    <x:row r="8">
      <x:c r="A8" s="9" t="str">
        <x:v>IMG_6261.JPG</x:v>
      </x:c>
      <x:c r="B8" s="9" t="str">
        <x:v>Lenovo</x:v>
      </x:c>
      <x:c r="C8" s="9" t="str">
        <x:v>T2254pC</x:v>
      </x:c>
      <x:c r="D8" s="9" t="str">
        <x:v>60E1-MAR2-WW</x:v>
      </x:c>
      <x:c r="E8" s="9" t="str">
        <x:v>VNA20GR9</x:v>
      </x:c>
      <x:c r="F8" s="9" t="str">
        <x:v>00PC018</x:v>
      </x:c>
      <x:c r="G8" s="10" t="n">
        <x:v>42955</x:v>
      </x:c>
      <x:c r="H8" s="11" t="str">
        <x:v>High</x:v>
      </x:c>
      <x:c r="I8" s="11" t="str">
        <x:v>Ready</x:v>
      </x:c>
      <x:c r="J8" s="15" t="str"/>
      <x:c r="K8" s="15" t="str">
        <x:v>C:\Users\AlejandroAcosta\Documents\ai-workstation\work\monitor_inventory_2026-07-27\monitors\IMG_6261.JPG</x:v>
      </x:c>
    </x:row>
    <x:row r="9">
      <x:c r="A9" s="9" t="str">
        <x:v>IMG_6262.JPG</x:v>
      </x:c>
      <x:c r="B9" s="9" t="str">
        <x:v>Lenovo</x:v>
      </x:c>
      <x:c r="C9" s="9" t="str">
        <x:v>T2254pC</x:v>
      </x:c>
      <x:c r="D9" s="9" t="str">
        <x:v>60E1-MAR2-WW</x:v>
      </x:c>
      <x:c r="E9" s="9" t="str">
        <x:v>VNA21PDD</x:v>
      </x:c>
      <x:c r="F9" s="9" t="str">
        <x:v>00PC018</x:v>
      </x:c>
      <x:c r="G9" s="10" t="n">
        <x:v>42996</x:v>
      </x:c>
      <x:c r="H9" s="11" t="str">
        <x:v>High</x:v>
      </x:c>
      <x:c r="I9" s="11" t="str">
        <x:v>Ready</x:v>
      </x:c>
      <x:c r="J9" s="15" t="str"/>
      <x:c r="K9" s="15" t="str">
        <x:v>C:\Users\AlejandroAcosta\Documents\ai-workstation\work\monitor_inventory_2026-07-27\monitors\IMG_6262.JPG</x:v>
      </x:c>
    </x:row>
    <x:row r="10">
      <x:c r="A10" s="9" t="str">
        <x:v>IMG_6263.JPG</x:v>
      </x:c>
      <x:c r="B10" s="9" t="str">
        <x:v>Lenovo</x:v>
      </x:c>
      <x:c r="C10" s="9" t="str">
        <x:v>T2254pC</x:v>
      </x:c>
      <x:c r="D10" s="9" t="str">
        <x:v>60E1-MAR2-WW</x:v>
      </x:c>
      <x:c r="E10" s="9" t="str">
        <x:v>VNA21P80</x:v>
      </x:c>
      <x:c r="F10" s="9" t="str">
        <x:v>00PC018</x:v>
      </x:c>
      <x:c r="G10" s="10" t="n">
        <x:v>42996</x:v>
      </x:c>
      <x:c r="H10" s="11" t="str">
        <x:v>High</x:v>
      </x:c>
      <x:c r="I10" s="11" t="str">
        <x:v>Ready</x:v>
      </x:c>
      <x:c r="J10" s="15" t="str"/>
      <x:c r="K10" s="15" t="str">
        <x:v>C:\Users\AlejandroAcosta\Documents\ai-workstation\work\monitor_inventory_2026-07-27\monitors\IMG_6263.JPG</x:v>
      </x:c>
    </x:row>
    <x:row r="11">
      <x:c r="A11" s="9" t="str">
        <x:v>IMG_6264.JPG</x:v>
      </x:c>
      <x:c r="B11" s="9" t="str">
        <x:v>Lenovo</x:v>
      </x:c>
      <x:c r="C11" s="9" t="str">
        <x:v>D22238QP0</x:v>
      </x:c>
      <x:c r="D11" s="9" t="str">
        <x:v>63B3-GAR6-WW</x:v>
      </x:c>
      <x:c r="E11" s="9" t="str">
        <x:v>V9-0EEKC2</x:v>
      </x:c>
      <x:c r="F11" s="9" t="str">
        <x:v>5D11J31074</x:v>
      </x:c>
      <x:c r="G11" s="10" t="n">
        <x:v>45638</x:v>
      </x:c>
      <x:c r="H11" s="11" t="str">
        <x:v>High</x:v>
      </x:c>
      <x:c r="I11" s="11" t="str">
        <x:v>Ready</x:v>
      </x:c>
      <x:c r="J11" s="15" t="str"/>
      <x:c r="K11" s="15" t="str">
        <x:v>C:\Users\AlejandroAcosta\Documents\ai-workstation\work\monitor_inventory_2026-07-27\monitors\IMG_6264.JPG</x:v>
      </x:c>
    </x:row>
    <x:row r="12">
      <x:c r="A12" s="9" t="str">
        <x:v>IMG_6265.JPG</x:v>
      </x:c>
      <x:c r="B12" s="9" t="str">
        <x:v>Lenovo</x:v>
      </x:c>
      <x:c r="C12" s="9" t="str">
        <x:v>T2254pC</x:v>
      </x:c>
      <x:c r="D12" s="9" t="str">
        <x:v>60E1-MAR2-WW</x:v>
      </x:c>
      <x:c r="E12" s="9" t="str">
        <x:v>VNA21PD9</x:v>
      </x:c>
      <x:c r="F12" s="9" t="str">
        <x:v>00PC018</x:v>
      </x:c>
      <x:c r="G12" s="10" t="n">
        <x:v>42996</x:v>
      </x:c>
      <x:c r="H12" s="11" t="str">
        <x:v>High</x:v>
      </x:c>
      <x:c r="I12" s="11" t="str">
        <x:v>Ready</x:v>
      </x:c>
      <x:c r="J12" s="15" t="str"/>
      <x:c r="K12" s="15" t="str">
        <x:v>C:\Users\AlejandroAcosta\Documents\ai-workstation\work\monitor_inventory_2026-07-27\monitors\IMG_6265.JPG</x:v>
      </x:c>
    </x:row>
    <x:row r="13">
      <x:c r="A13" s="9" t="str">
        <x:v>IMG_6266.JPG</x:v>
      </x:c>
      <x:c r="B13" s="9" t="str">
        <x:v>Lenovo</x:v>
      </x:c>
      <x:c r="C13" s="9" t="str">
        <x:v>T2254pC</x:v>
      </x:c>
      <x:c r="D13" s="9" t="str">
        <x:v>60E1-MAR2-WW</x:v>
      </x:c>
      <x:c r="E13" s="9" t="str">
        <x:v>VNA21P77</x:v>
      </x:c>
      <x:c r="F13" s="9" t="str">
        <x:v>00PC018</x:v>
      </x:c>
      <x:c r="G13" s="10" t="n">
        <x:v>42996</x:v>
      </x:c>
      <x:c r="H13" s="11" t="str">
        <x:v>High</x:v>
      </x:c>
      <x:c r="I13" s="11" t="str">
        <x:v>Ready</x:v>
      </x:c>
      <x:c r="J13" s="15" t="str"/>
      <x:c r="K13" s="15" t="str">
        <x:v>C:\Users\AlejandroAcosta\Documents\ai-workstation\work\monitor_inventory_2026-07-27\monitors\IMG_6266.JPG</x:v>
      </x:c>
    </x:row>
    <x:row r="14">
      <x:c r="A14" s="9" t="str">
        <x:v>IMG_6267.JPG</x:v>
      </x:c>
      <x:c r="B14" s="9" t="str">
        <x:v>Lenovo</x:v>
      </x:c>
      <x:c r="C14" s="9" t="str">
        <x:v>T2254pC</x:v>
      </x:c>
      <x:c r="D14" s="9" t="str">
        <x:v>60E1-MAR2-WW</x:v>
      </x:c>
      <x:c r="E14" s="9" t="str">
        <x:v>VNA20MK4</x:v>
      </x:c>
      <x:c r="F14" s="9" t="str">
        <x:v>00PC018</x:v>
      </x:c>
      <x:c r="G14" s="10" t="n">
        <x:v>42961</x:v>
      </x:c>
      <x:c r="H14" s="11" t="str">
        <x:v>High</x:v>
      </x:c>
      <x:c r="I14" s="11" t="str">
        <x:v>Ready</x:v>
      </x:c>
      <x:c r="J14" s="15" t="str"/>
      <x:c r="K14" s="15" t="str">
        <x:v>C:\Users\AlejandroAcosta\Documents\ai-workstation\work\monitor_inventory_2026-07-27\monitors\IMG_6267.JPG</x:v>
      </x:c>
    </x:row>
    <x:row r="15">
      <x:c r="A15" s="9" t="str">
        <x:v>IMG_6268.JPG</x:v>
      </x:c>
      <x:c r="B15" s="9" t="str">
        <x:v>Lenovo</x:v>
      </x:c>
      <x:c r="C15" s="9" t="str">
        <x:v>T2254pC</x:v>
      </x:c>
      <x:c r="D15" s="9" t="str">
        <x:v>60E1-MAR2-WW</x:v>
      </x:c>
      <x:c r="E15" s="9" t="str">
        <x:v>VNA21P7C</x:v>
      </x:c>
      <x:c r="F15" s="9" t="str">
        <x:v>00PC018</x:v>
      </x:c>
      <x:c r="G15" s="10" t="n">
        <x:v>42996</x:v>
      </x:c>
      <x:c r="H15" s="11" t="str">
        <x:v>High</x:v>
      </x:c>
      <x:c r="I15" s="11" t="str">
        <x:v>Ready</x:v>
      </x:c>
      <x:c r="J15" s="15" t="str"/>
      <x:c r="K15" s="15" t="str">
        <x:v>C:\Users\AlejandroAcosta\Documents\ai-workstation\work\monitor_inventory_2026-07-27\monitors\IMG_6268.JPG</x:v>
      </x:c>
    </x:row>
    <x:row r="16">
      <x:c r="A16" s="9" t="str">
        <x:v>IMG_6269.JPG</x:v>
      </x:c>
      <x:c r="B16" s="9" t="str">
        <x:v>Lenovo</x:v>
      </x:c>
      <x:c r="C16" s="9" t="str">
        <x:v>T2254pC</x:v>
      </x:c>
      <x:c r="D16" s="9" t="str">
        <x:v>60E1-MAR2-WW</x:v>
      </x:c>
      <x:c r="E16" s="9" t="str">
        <x:v>VNA21PMA</x:v>
      </x:c>
      <x:c r="F16" s="9" t="str">
        <x:v>00PC018</x:v>
      </x:c>
      <x:c r="G16" s="10" t="n">
        <x:v>42996</x:v>
      </x:c>
      <x:c r="H16" s="11" t="str">
        <x:v>High</x:v>
      </x:c>
      <x:c r="I16" s="11" t="str">
        <x:v>Ready</x:v>
      </x:c>
      <x:c r="J16" s="15" t="str"/>
      <x:c r="K16" s="15" t="str">
        <x:v>C:\Users\AlejandroAcosta\Documents\ai-workstation\work\monitor_inventory_2026-07-27\monitors\IMG_6269.JPG</x:v>
      </x:c>
    </x:row>
    <x:row r="17">
      <x:c r="A17" s="9" t="str">
        <x:v>IMG_6270.JPG</x:v>
      </x:c>
      <x:c r="B17" s="9" t="str">
        <x:v>Lenovo</x:v>
      </x:c>
      <x:c r="C17" s="9" t="str">
        <x:v>T2254pC</x:v>
      </x:c>
      <x:c r="D17" s="9" t="str">
        <x:v>60E1-MAR2-WW</x:v>
      </x:c>
      <x:c r="E17" s="9" t="str">
        <x:v>VNA20NYK</x:v>
      </x:c>
      <x:c r="F17" s="9" t="str">
        <x:v>00PC018</x:v>
      </x:c>
      <x:c r="G17" s="10" t="n">
        <x:v>42961</x:v>
      </x:c>
      <x:c r="H17" s="11" t="str">
        <x:v>High</x:v>
      </x:c>
      <x:c r="I17" s="11" t="str">
        <x:v>Ready</x:v>
      </x:c>
      <x:c r="J17" s="15" t="str"/>
      <x:c r="K17" s="15" t="str">
        <x:v>C:\Users\AlejandroAcosta\Documents\ai-workstation\work\monitor_inventory_2026-07-27\monitors\IMG_6270.JPG</x:v>
      </x:c>
    </x:row>
    <x:row r="18">
      <x:c r="A18" s="9" t="str">
        <x:v>IMG_6271.JPG</x:v>
      </x:c>
      <x:c r="B18" s="9" t="str">
        <x:v>Lenovo</x:v>
      </x:c>
      <x:c r="C18" s="9" t="str">
        <x:v>T2254pC</x:v>
      </x:c>
      <x:c r="D18" s="9" t="str">
        <x:v>60E1-MAR2-WW</x:v>
      </x:c>
      <x:c r="E18" s="9" t="str">
        <x:v>VNA199FV</x:v>
      </x:c>
      <x:c r="F18" s="9" t="str">
        <x:v>00PC018</x:v>
      </x:c>
      <x:c r="G18" s="10" t="n">
        <x:v>42615</x:v>
      </x:c>
      <x:c r="H18" s="11" t="str">
        <x:v>High</x:v>
      </x:c>
      <x:c r="I18" s="11" t="str">
        <x:v>Ready</x:v>
      </x:c>
      <x:c r="J18" s="15" t="str"/>
      <x:c r="K18" s="15" t="str">
        <x:v>C:\Users\AlejandroAcosta\Documents\ai-workstation\work\monitor_inventory_2026-07-27\monitors\IMG_6271.JPG</x:v>
      </x:c>
    </x:row>
    <x:row r="19">
      <x:c r="A19" s="9" t="str">
        <x:v>IMG_6273.JPG</x:v>
      </x:c>
      <x:c r="B19" s="9" t="str">
        <x:v>Lenovo</x:v>
      </x:c>
      <x:c r="C19" s="9" t="str">
        <x:v>T2254pC</x:v>
      </x:c>
      <x:c r="D19" s="9" t="str">
        <x:v>60E1-MAR2-WW</x:v>
      </x:c>
      <x:c r="E19" s="9" t="str">
        <x:v>VNA20ML4</x:v>
      </x:c>
      <x:c r="F19" s="9" t="str">
        <x:v>00PC018</x:v>
      </x:c>
      <x:c r="G19" s="10" t="n">
        <x:v>42961</x:v>
      </x:c>
      <x:c r="H19" s="11" t="str">
        <x:v>High</x:v>
      </x:c>
      <x:c r="I19" s="11" t="str">
        <x:v>Ready</x:v>
      </x:c>
      <x:c r="J19" s="15" t="str"/>
      <x:c r="K19" s="15" t="str">
        <x:v>C:\Users\AlejandroAcosta\Documents\ai-workstation\work\monitor_inventory_2026-07-27\monitors\IMG_6273.JPG</x:v>
      </x:c>
    </x:row>
    <x:row r="20">
      <x:c r="A20" s="9" t="str">
        <x:v>IMG_6274.JPG</x:v>
      </x:c>
      <x:c r="B20" s="9" t="str">
        <x:v>Lenovo</x:v>
      </x:c>
      <x:c r="C20" s="9" t="str">
        <x:v>T2254pC</x:v>
      </x:c>
      <x:c r="D20" s="9" t="str">
        <x:v>60E1-MAR2-WW</x:v>
      </x:c>
      <x:c r="E20" s="9" t="str">
        <x:v>VNA20MKM</x:v>
      </x:c>
      <x:c r="F20" s="9" t="str">
        <x:v>00PC018</x:v>
      </x:c>
      <x:c r="G20" s="10" t="n">
        <x:v>42961</x:v>
      </x:c>
      <x:c r="H20" s="11" t="str">
        <x:v>High</x:v>
      </x:c>
      <x:c r="I20" s="11" t="str">
        <x:v>Ready</x:v>
      </x:c>
      <x:c r="J20" s="15" t="str"/>
      <x:c r="K20" s="15" t="str">
        <x:v>C:\Users\AlejandroAcosta\Documents\ai-workstation\work\monitor_inventory_2026-07-27\monitors\IMG_6274.JPG</x:v>
      </x:c>
    </x:row>
    <x:row r="21">
      <x:c r="A21" s="9" t="str">
        <x:v>IMG_6278.JPG</x:v>
      </x:c>
      <x:c r="B21" s="9" t="str">
        <x:v>Lenovo</x:v>
      </x:c>
      <x:c r="C21" s="9" t="str">
        <x:v>T2254pC</x:v>
      </x:c>
      <x:c r="D21" s="9" t="str">
        <x:v>60E1-MAR2-WW</x:v>
      </x:c>
      <x:c r="E21" s="9" t="str">
        <x:v>VNA21PF7</x:v>
      </x:c>
      <x:c r="F21" s="9" t="str">
        <x:v>00PC018</x:v>
      </x:c>
      <x:c r="G21" s="10" t="n">
        <x:v>42996</x:v>
      </x:c>
      <x:c r="H21" s="11" t="str">
        <x:v>High</x:v>
      </x:c>
      <x:c r="I21" s="11" t="str">
        <x:v>Ready</x:v>
      </x:c>
      <x:c r="J21" s="15" t="str"/>
      <x:c r="K21" s="15" t="str">
        <x:v>C:\Users\AlejandroAcosta\Documents\ai-workstation\work\monitor_inventory_2026-07-27\monitors\IMG_6278.JPG</x:v>
      </x:c>
    </x:row>
    <x:row r="22">
      <x:c r="A22" s="9" t="str">
        <x:v>IMG_6280.JPG</x:v>
      </x:c>
      <x:c r="B22" s="9" t="str">
        <x:v>Lenovo</x:v>
      </x:c>
      <x:c r="C22" s="9" t="str">
        <x:v>T2254pC</x:v>
      </x:c>
      <x:c r="D22" s="9" t="str">
        <x:v>60E1-MAR2-WW</x:v>
      </x:c>
      <x:c r="E22" s="9" t="str">
        <x:v>VNA21PDX</x:v>
      </x:c>
      <x:c r="F22" s="9" t="str">
        <x:v>00PC018</x:v>
      </x:c>
      <x:c r="G22" s="10" t="n">
        <x:v>42996</x:v>
      </x:c>
      <x:c r="H22" s="11" t="str">
        <x:v>High</x:v>
      </x:c>
      <x:c r="I22" s="11" t="str">
        <x:v>Ready</x:v>
      </x:c>
      <x:c r="J22" s="15" t="str"/>
      <x:c r="K22" s="15" t="str">
        <x:v>C:\Users\AlejandroAcosta\Documents\ai-workstation\work\monitor_inventory_2026-07-27\monitors\IMG_6280.JPG</x:v>
      </x:c>
    </x:row>
    <x:row r="23">
      <x:c r="A23" s="9" t="str">
        <x:v>IMG_6281.JPG</x:v>
      </x:c>
      <x:c r="B23" s="9" t="str">
        <x:v>Lenovo</x:v>
      </x:c>
      <x:c r="C23" s="9" t="str">
        <x:v>T2254pC</x:v>
      </x:c>
      <x:c r="D23" s="9" t="str">
        <x:v>60E1-MAR2-WW</x:v>
      </x:c>
      <x:c r="E23" s="9" t="str">
        <x:v>VNA21PGZ</x:v>
      </x:c>
      <x:c r="F23" s="9" t="str">
        <x:v>00PC018</x:v>
      </x:c>
      <x:c r="G23" s="10" t="n">
        <x:v>42996</x:v>
      </x:c>
      <x:c r="H23" s="11" t="str">
        <x:v>High</x:v>
      </x:c>
      <x:c r="I23" s="11" t="str">
        <x:v>Ready</x:v>
      </x:c>
      <x:c r="J23" s="15" t="str"/>
      <x:c r="K23" s="15" t="str">
        <x:v>C:\Users\AlejandroAcosta\Documents\ai-workstation\work\monitor_inventory_2026-07-27\monitors\IMG_6281.JPG</x:v>
      </x:c>
    </x:row>
    <x:row r="24">
      <x:c r="A24" s="9" t="str">
        <x:v>IMG_6282.JPG</x:v>
      </x:c>
      <x:c r="B24" s="9" t="str">
        <x:v>Lenovo</x:v>
      </x:c>
      <x:c r="C24" s="9" t="str">
        <x:v>T2254pC</x:v>
      </x:c>
      <x:c r="D24" s="9" t="str">
        <x:v>60E1-MAR2-WW</x:v>
      </x:c>
      <x:c r="E24" s="9" t="str">
        <x:v>VNA20MKO</x:v>
      </x:c>
      <x:c r="F24" s="9" t="str">
        <x:v>00PC018</x:v>
      </x:c>
      <x:c r="G24" s="10" t="n">
        <x:v>42961</x:v>
      </x:c>
      <x:c r="H24" s="11" t="str">
        <x:v>High</x:v>
      </x:c>
      <x:c r="I24" s="11" t="str">
        <x:v>Ready</x:v>
      </x:c>
      <x:c r="J24" s="15" t="str"/>
      <x:c r="K24" s="15" t="str">
        <x:v>C:\Users\AlejandroAcosta\Documents\ai-workstation\work\monitor_inventory_2026-07-27\monitors\IMG_6282.JPG</x:v>
      </x:c>
    </x:row>
    <x:row r="25">
      <x:c r="A25" s="9" t="str">
        <x:v>IMG_6283.JPG</x:v>
      </x:c>
      <x:c r="B25" s="9" t="str">
        <x:v>Lenovo</x:v>
      </x:c>
      <x:c r="C25" s="9" t="str">
        <x:v>T2254pC</x:v>
      </x:c>
      <x:c r="D25" s="9" t="str">
        <x:v>60E1-MAR2-WW</x:v>
      </x:c>
      <x:c r="E25" s="9" t="str">
        <x:v>VNA21PCL</x:v>
      </x:c>
      <x:c r="F25" s="9" t="str">
        <x:v>00PC018</x:v>
      </x:c>
      <x:c r="G25" s="10" t="n">
        <x:v>42996</x:v>
      </x:c>
      <x:c r="H25" s="11" t="str">
        <x:v>High</x:v>
      </x:c>
      <x:c r="I25" s="11" t="str">
        <x:v>Ready</x:v>
      </x:c>
      <x:c r="J25" s="15" t="str"/>
      <x:c r="K25" s="15" t="str">
        <x:v>C:\Users\AlejandroAcosta\Documents\ai-workstation\work\monitor_inventory_2026-07-27\monitors\IMG_6283.JPG</x:v>
      </x:c>
    </x:row>
    <x:row r="26">
      <x:c r="A26" s="9" t="str">
        <x:v>IMG_6284.JPG</x:v>
      </x:c>
      <x:c r="B26" s="9" t="str">
        <x:v>Lenovo</x:v>
      </x:c>
      <x:c r="C26" s="9" t="str">
        <x:v>T2254pC</x:v>
      </x:c>
      <x:c r="D26" s="9" t="str">
        <x:v>60E1-MAR2-WW</x:v>
      </x:c>
      <x:c r="E26" s="9" t="str">
        <x:v>VNA20HBC</x:v>
      </x:c>
      <x:c r="F26" s="9" t="str">
        <x:v>00PC018</x:v>
      </x:c>
      <x:c r="G26" s="10" t="n">
        <x:v>42956</x:v>
      </x:c>
      <x:c r="H26" s="11" t="str">
        <x:v>High</x:v>
      </x:c>
      <x:c r="I26" s="11" t="str">
        <x:v>Ready</x:v>
      </x:c>
      <x:c r="J26" s="15" t="str"/>
      <x:c r="K26" s="15" t="str">
        <x:v>C:\Users\AlejandroAcosta\Documents\ai-workstation\work\monitor_inventory_2026-07-27\monitors\IMG_6284.JPG</x:v>
      </x:c>
    </x:row>
    <x:row r="27">
      <x:c r="A27" s="9" t="str">
        <x:v>IMG_6285.JPG</x:v>
      </x:c>
      <x:c r="B27" s="9" t="str">
        <x:v>Lenovo</x:v>
      </x:c>
      <x:c r="C27" s="9" t="str">
        <x:v>T2254pC</x:v>
      </x:c>
      <x:c r="D27" s="9" t="str">
        <x:v>60E1-MAR2-WW</x:v>
      </x:c>
      <x:c r="E27" s="9" t="str">
        <x:v>VNA21NNV</x:v>
      </x:c>
      <x:c r="F27" s="9" t="str">
        <x:v>00PC018</x:v>
      </x:c>
      <x:c r="G27" s="10" t="n">
        <x:v>42996</x:v>
      </x:c>
      <x:c r="H27" s="11" t="str">
        <x:v>High</x:v>
      </x:c>
      <x:c r="I27" s="11" t="str">
        <x:v>Ready</x:v>
      </x:c>
      <x:c r="J27" s="15" t="str"/>
      <x:c r="K27" s="15" t="str">
        <x:v>C:\Users\AlejandroAcosta\Documents\ai-workstation\work\monitor_inventory_2026-07-27\monitors\IMG_6285.JPG</x:v>
      </x:c>
    </x:row>
    <x:row r="28">
      <x:c r="A28" s="9" t="str">
        <x:v>IMG_6286.JPG</x:v>
      </x:c>
      <x:c r="B28" s="9" t="str">
        <x:v>Lenovo</x:v>
      </x:c>
      <x:c r="C28" s="9" t="str">
        <x:v>T2254pC</x:v>
      </x:c>
      <x:c r="D28" s="9" t="str">
        <x:v>60E1-MAR2-WW</x:v>
      </x:c>
      <x:c r="E28" s="9" t="str">
        <x:v>VNA21PHM</x:v>
      </x:c>
      <x:c r="F28" s="9" t="str">
        <x:v>00PC018</x:v>
      </x:c>
      <x:c r="G28" s="10" t="n">
        <x:v>42996</x:v>
      </x:c>
      <x:c r="H28" s="11" t="str">
        <x:v>High</x:v>
      </x:c>
      <x:c r="I28" s="11" t="str">
        <x:v>Ready</x:v>
      </x:c>
      <x:c r="J28" s="15" t="str"/>
      <x:c r="K28" s="15" t="str">
        <x:v>C:\Users\AlejandroAcosta\Documents\ai-workstation\work\monitor_inventory_2026-07-27\monitors\IMG_6286.JPG</x:v>
      </x:c>
    </x:row>
    <x:row r="29">
      <x:c r="A29" s="9" t="str">
        <x:v>IMG_6287.JPG</x:v>
      </x:c>
      <x:c r="B29" s="9" t="str">
        <x:v>Lenovo</x:v>
      </x:c>
      <x:c r="C29" s="9" t="str">
        <x:v>T2254pC</x:v>
      </x:c>
      <x:c r="D29" s="9" t="str">
        <x:v>60E1-MAR2-WW</x:v>
      </x:c>
      <x:c r="E29" s="9" t="str">
        <x:v>VNA20RL6</x:v>
      </x:c>
      <x:c r="F29" s="9" t="str">
        <x:v>00PC018</x:v>
      </x:c>
      <x:c r="G29" s="10" t="n">
        <x:v>42968</x:v>
      </x:c>
      <x:c r="H29" s="11" t="str">
        <x:v>High</x:v>
      </x:c>
      <x:c r="I29" s="11" t="str">
        <x:v>Ready</x:v>
      </x:c>
      <x:c r="J29" s="15" t="str"/>
      <x:c r="K29" s="15" t="str">
        <x:v>C:\Users\AlejandroAcosta\Documents\ai-workstation\work\monitor_inventory_2026-07-27\monitors\IMG_6287.JPG</x:v>
      </x:c>
    </x:row>
    <x:row r="30">
      <x:c r="A30" s="9" t="str">
        <x:v>IMG_6288.JPG</x:v>
      </x:c>
      <x:c r="B30" s="9" t="str">
        <x:v>Lenovo</x:v>
      </x:c>
      <x:c r="C30" s="9" t="str">
        <x:v>T2254pC</x:v>
      </x:c>
      <x:c r="D30" s="9" t="str">
        <x:v>60E1-MAR2-WW</x:v>
      </x:c>
      <x:c r="E30" s="9" t="str">
        <x:v>VNA20MYR</x:v>
      </x:c>
      <x:c r="F30" s="9" t="str">
        <x:v>00PC018</x:v>
      </x:c>
      <x:c r="G30" s="10" t="n">
        <x:v>42961</x:v>
      </x:c>
      <x:c r="H30" s="11" t="str">
        <x:v>High</x:v>
      </x:c>
      <x:c r="I30" s="11" t="str">
        <x:v>Ready</x:v>
      </x:c>
      <x:c r="J30" s="15" t="str"/>
      <x:c r="K30" s="15" t="str">
        <x:v>C:\Users\AlejandroAcosta\Documents\ai-workstation\work\monitor_inventory_2026-07-27\monitors\IMG_6288.JPG</x:v>
      </x:c>
    </x:row>
    <x:row r="31">
      <x:c r="A31" s="9" t="str">
        <x:v>IMG_6289.JPG</x:v>
      </x:c>
      <x:c r="B31" s="9" t="str">
        <x:v>Lenovo</x:v>
      </x:c>
      <x:c r="C31" s="9" t="str">
        <x:v>T2254pC</x:v>
      </x:c>
      <x:c r="D31" s="9" t="str">
        <x:v>60E1-MAR2-WW</x:v>
      </x:c>
      <x:c r="E31" s="9" t="str">
        <x:v>VNA20MYW</x:v>
      </x:c>
      <x:c r="F31" s="9" t="str">
        <x:v>00PC018</x:v>
      </x:c>
      <x:c r="G31" s="10" t="n">
        <x:v>42961</x:v>
      </x:c>
      <x:c r="H31" s="11" t="str">
        <x:v>High</x:v>
      </x:c>
      <x:c r="I31" s="11" t="str">
        <x:v>Ready</x:v>
      </x:c>
      <x:c r="J31" s="15" t="str"/>
      <x:c r="K31" s="15" t="str">
        <x:v>C:\Users\AlejandroAcosta\Documents\ai-workstation\work\monitor_inventory_2026-07-27\monitors\IMG_6289.JPG</x:v>
      </x:c>
    </x:row>
    <x:row r="32">
      <x:c r="A32" s="9" t="str">
        <x:v>IMG_6290.JPG</x:v>
      </x:c>
      <x:c r="B32" s="9" t="str">
        <x:v>Lenovo</x:v>
      </x:c>
      <x:c r="C32" s="9" t="str">
        <x:v>T2254pC</x:v>
      </x:c>
      <x:c r="D32" s="9" t="str">
        <x:v>60E1-MAR2-WW</x:v>
      </x:c>
      <x:c r="E32" s="9" t="str">
        <x:v>VNA20MK7</x:v>
      </x:c>
      <x:c r="F32" s="9" t="str">
        <x:v>00PC018</x:v>
      </x:c>
      <x:c r="G32" s="10" t="n">
        <x:v>42961</x:v>
      </x:c>
      <x:c r="H32" s="11" t="str">
        <x:v>High</x:v>
      </x:c>
      <x:c r="I32" s="11" t="str">
        <x:v>Ready</x:v>
      </x:c>
      <x:c r="J32" s="15" t="str"/>
      <x:c r="K32" s="15" t="str">
        <x:v>C:\Users\AlejandroAcosta\Documents\ai-workstation\work\monitor_inventory_2026-07-27\monitors\IMG_6290.JPG</x:v>
      </x:c>
    </x:row>
    <x:row r="33">
      <x:c r="A33" s="9" t="str">
        <x:v>IMG_6291.JPG</x:v>
      </x:c>
      <x:c r="B33" s="9" t="str">
        <x:v>Lenovo</x:v>
      </x:c>
      <x:c r="C33" s="9" t="str">
        <x:v>T2254pC</x:v>
      </x:c>
      <x:c r="D33" s="9" t="str">
        <x:v>60E1-MAR2-WW</x:v>
      </x:c>
      <x:c r="E33" s="9" t="str">
        <x:v>VNA21PGV</x:v>
      </x:c>
      <x:c r="F33" s="9" t="str">
        <x:v>00PC018</x:v>
      </x:c>
      <x:c r="G33" s="10" t="n">
        <x:v>42996</x:v>
      </x:c>
      <x:c r="H33" s="11" t="str">
        <x:v>High</x:v>
      </x:c>
      <x:c r="I33" s="11" t="str">
        <x:v>Ready</x:v>
      </x:c>
      <x:c r="J33" s="15" t="str"/>
      <x:c r="K33" s="15" t="str">
        <x:v>C:\Users\AlejandroAcosta\Documents\ai-workstation\work\monitor_inventory_2026-07-27\monitors\IMG_6291.JPG</x:v>
      </x:c>
    </x:row>
    <x:row r="34">
      <x:c r="A34" s="9" t="str">
        <x:v>IMG_6292.JPG</x:v>
      </x:c>
      <x:c r="B34" s="9" t="str">
        <x:v>Lenovo</x:v>
      </x:c>
      <x:c r="C34" s="9" t="str">
        <x:v>T2254pC</x:v>
      </x:c>
      <x:c r="D34" s="9" t="str">
        <x:v>60E1-MAR2-WW</x:v>
      </x:c>
      <x:c r="E34" s="9" t="str">
        <x:v>VNA21PF5</x:v>
      </x:c>
      <x:c r="F34" s="9" t="str">
        <x:v>00PC018</x:v>
      </x:c>
      <x:c r="G34" s="10" t="n">
        <x:v>42996</x:v>
      </x:c>
      <x:c r="H34" s="11" t="str">
        <x:v>High</x:v>
      </x:c>
      <x:c r="I34" s="11" t="str">
        <x:v>Ready</x:v>
      </x:c>
      <x:c r="J34" s="15" t="str"/>
      <x:c r="K34" s="15" t="str">
        <x:v>C:\Users\AlejandroAcosta\Documents\ai-workstation\work\monitor_inventory_2026-07-27\monitors\IMG_6292.JPG</x:v>
      </x:c>
    </x:row>
    <x:row r="35">
      <x:c r="A35" s="9" t="str">
        <x:v>IMG_6293.JPG</x:v>
      </x:c>
      <x:c r="B35" s="9" t="str">
        <x:v>Lenovo</x:v>
      </x:c>
      <x:c r="C35" s="9" t="str">
        <x:v>T22i-10</x:v>
      </x:c>
      <x:c r="D35" s="9" t="str">
        <x:v>61A9-MAR1-WW</x:v>
      </x:c>
      <x:c r="E35" s="9" t="str">
        <x:v>V5MV8915</x:v>
      </x:c>
      <x:c r="F35" s="9" t="str">
        <x:v>00PC160</x:v>
      </x:c>
      <x:c r="G35" s="10" t="n">
        <x:v>43733</x:v>
      </x:c>
      <x:c r="H35" s="11" t="str">
        <x:v>High</x:v>
      </x:c>
      <x:c r="I35" s="11" t="str">
        <x:v>Ready</x:v>
      </x:c>
      <x:c r="J35" s="15" t="str"/>
      <x:c r="K35" s="15" t="str">
        <x:v>C:\Users\AlejandroAcosta\Documents\ai-workstation\work\monitor_inventory_2026-07-27\monitors\IMG_6293.JPG</x:v>
      </x:c>
    </x:row>
    <x:row r="36">
      <x:c r="A36" s="9" t="str">
        <x:v>IMG_6294.JPG</x:v>
      </x:c>
      <x:c r="B36" s="9" t="str">
        <x:v>Lenovo</x:v>
      </x:c>
      <x:c r="C36" s="9" t="str">
        <x:v>T2254pC</x:v>
      </x:c>
      <x:c r="D36" s="9" t="str">
        <x:v>60E1-MAR2-WW</x:v>
      </x:c>
      <x:c r="E36" s="9" t="str">
        <x:v>VNA20MLO</x:v>
      </x:c>
      <x:c r="F36" s="9" t="str">
        <x:v>00PC018</x:v>
      </x:c>
      <x:c r="G36" s="10" t="n">
        <x:v>42961</x:v>
      </x:c>
      <x:c r="H36" s="11" t="str">
        <x:v>High</x:v>
      </x:c>
      <x:c r="I36" s="11" t="str">
        <x:v>Ready</x:v>
      </x:c>
      <x:c r="J36" s="15" t="str"/>
      <x:c r="K36" s="15" t="str">
        <x:v>C:\Users\AlejandroAcosta\Documents\ai-workstation\work\monitor_inventory_2026-07-27\monitors\IMG_6294.JPG</x:v>
      </x:c>
    </x:row>
    <x:row r="37">
      <x:c r="A37" s="9" t="str">
        <x:v>IMG_6296.JPG</x:v>
      </x:c>
      <x:c r="B37" s="9" t="str">
        <x:v>Lenovo</x:v>
      </x:c>
      <x:c r="C37" s="9" t="str">
        <x:v>T2254pC</x:v>
      </x:c>
      <x:c r="D37" s="9" t="str">
        <x:v>60E1-MAR2-WW</x:v>
      </x:c>
      <x:c r="E37" s="9" t="str">
        <x:v>VNA20MKA</x:v>
      </x:c>
      <x:c r="F37" s="9" t="str">
        <x:v>00PC018</x:v>
      </x:c>
      <x:c r="G37" s="10" t="n">
        <x:v>42961</x:v>
      </x:c>
      <x:c r="H37" s="11" t="str">
        <x:v>High</x:v>
      </x:c>
      <x:c r="I37" s="11" t="str">
        <x:v>Ready</x:v>
      </x:c>
      <x:c r="J37" s="15" t="str"/>
      <x:c r="K37" s="15" t="str">
        <x:v>C:\Users\AlejandroAcosta\Documents\ai-workstation\work\monitor_inventory_2026-07-27\monitors\IMG_6296.JPG</x:v>
      </x:c>
    </x:row>
    <x:row r="38">
      <x:c r="A38" s="9" t="str">
        <x:v>IMG_6297.JPG</x:v>
      </x:c>
      <x:c r="B38" s="9" t="str">
        <x:v>Lenovo</x:v>
      </x:c>
      <x:c r="C38" s="9" t="str">
        <x:v>T22i-10</x:v>
      </x:c>
      <x:c r="D38" s="9" t="str">
        <x:v>61A9-MAR1-WW</x:v>
      </x:c>
      <x:c r="E38" s="9" t="str">
        <x:v>V5HX1908</x:v>
      </x:c>
      <x:c r="F38" s="9" t="str">
        <x:v>00PC160</x:v>
      </x:c>
      <x:c r="G38" s="10" t="n">
        <x:v>43623</x:v>
      </x:c>
      <x:c r="H38" s="11" t="str">
        <x:v>High</x:v>
      </x:c>
      <x:c r="I38" s="11" t="str">
        <x:v>Ready</x:v>
      </x:c>
      <x:c r="J38" s="15" t="str"/>
      <x:c r="K38" s="15" t="str">
        <x:v>C:\Users\AlejandroAcosta\Documents\ai-workstation\work\monitor_inventory_2026-07-27\monitors\IMG_6297.JPG</x:v>
      </x:c>
    </x:row>
    <x:row r="39">
      <x:c r="A39" s="9" t="str">
        <x:v>IMG_6298.JPG</x:v>
      </x:c>
      <x:c r="B39" s="9" t="str">
        <x:v>Lenovo</x:v>
      </x:c>
      <x:c r="C39" s="9" t="str">
        <x:v>T2254pC</x:v>
      </x:c>
      <x:c r="D39" s="9" t="str">
        <x:v>60E1-MAR2-WW</x:v>
      </x:c>
      <x:c r="E39" s="9" t="str">
        <x:v>VNA21PGW</x:v>
      </x:c>
      <x:c r="F39" s="9" t="str">
        <x:v>00PC018</x:v>
      </x:c>
      <x:c r="G39" s="10" t="n">
        <x:v>42996</x:v>
      </x:c>
      <x:c r="H39" s="11" t="str">
        <x:v>High</x:v>
      </x:c>
      <x:c r="I39" s="11" t="str">
        <x:v>Ready</x:v>
      </x:c>
      <x:c r="J39" s="15" t="str"/>
      <x:c r="K39" s="15" t="str">
        <x:v>C:\Users\AlejandroAcosta\Documents\ai-workstation\work\monitor_inventory_2026-07-27\monitors\IMG_6298.JPG</x:v>
      </x:c>
    </x:row>
    <x:row r="40">
      <x:c r="A40" s="9" t="str">
        <x:v>IMG_6299.JPG</x:v>
      </x:c>
      <x:c r="B40" s="9" t="str">
        <x:v>Lenovo</x:v>
      </x:c>
      <x:c r="C40" s="9" t="str">
        <x:v>T2254pC</x:v>
      </x:c>
      <x:c r="D40" s="9" t="str">
        <x:v>60E1-MAR2-WW</x:v>
      </x:c>
      <x:c r="E40" s="9" t="str">
        <x:v>VNA21PHP</x:v>
      </x:c>
      <x:c r="F40" s="9" t="str">
        <x:v>00PC018</x:v>
      </x:c>
      <x:c r="G40" s="10" t="n">
        <x:v>42996</x:v>
      </x:c>
      <x:c r="H40" s="11" t="str">
        <x:v>High</x:v>
      </x:c>
      <x:c r="I40" s="11" t="str">
        <x:v>Ready</x:v>
      </x:c>
      <x:c r="J40" s="15" t="str"/>
      <x:c r="K40" s="15" t="str">
        <x:v>C:\Users\AlejandroAcosta\Documents\ai-workstation\work\monitor_inventory_2026-07-27\monitors\IMG_6299.JPG</x:v>
      </x:c>
    </x:row>
    <x:row r="41">
      <x:c r="A41" s="9" t="str">
        <x:v>IMG_6300.JPG</x:v>
      </x:c>
      <x:c r="B41" s="9" t="str">
        <x:v>Lenovo</x:v>
      </x:c>
      <x:c r="C41" s="9" t="str">
        <x:v>T221-10</x:v>
      </x:c>
      <x:c r="D41" s="9" t="str">
        <x:v>61Ag-MAR1-W1</x:v>
      </x:c>
      <x:c r="E41" s="9" t="str">
        <x:v>V5HH1349</x:v>
      </x:c>
      <x:c r="F41" s="9" t="str">
        <x:v>OOPC160</x:v>
      </x:c>
      <x:c r="G41" s="10" t="n">
        <x:v>43601</x:v>
      </x:c>
      <x:c r="H41" s="11" t="str">
        <x:v>High</x:v>
      </x:c>
      <x:c r="I41" s="11" t="str">
        <x:v>Ready</x:v>
      </x:c>
      <x:c r="J41" s="15" t="str"/>
      <x:c r="K41" s="15" t="str">
        <x:v>C:\Users\AlejandroAcosta\Documents\ai-workstation\work\monitor_inventory_2026-07-27\monitors\IMG_6300.JPG</x:v>
      </x:c>
    </x:row>
    <x:row r="42">
      <x:c r="A42" s="9" t="str">
        <x:v>IMG_6301.JPG</x:v>
      </x:c>
      <x:c r="B42" s="9" t="str">
        <x:v>Lenovo</x:v>
      </x:c>
      <x:c r="C42" s="9" t="str">
        <x:v>D22238QP0</x:v>
      </x:c>
      <x:c r="D42" s="9" t="str">
        <x:v>63B3-GAR6-WW</x:v>
      </x:c>
      <x:c r="E42" s="9" t="str">
        <x:v>V9-0D39VR</x:v>
      </x:c>
      <x:c r="F42" s="9" t="str">
        <x:v>5D11J31074</x:v>
      </x:c>
      <x:c r="G42" s="10" t="n">
        <x:v>45279</x:v>
      </x:c>
      <x:c r="H42" s="11" t="str">
        <x:v>High</x:v>
      </x:c>
      <x:c r="I42" s="11" t="str">
        <x:v>Ready</x:v>
      </x:c>
      <x:c r="J42" s="15" t="str"/>
      <x:c r="K42" s="15" t="str">
        <x:v>C:\Users\AlejandroAcosta\Documents\ai-workstation\work\monitor_inventory_2026-07-27\monitors\IMG_6301.JPG</x:v>
      </x:c>
    </x:row>
    <x:row r="43">
      <x:c r="A43" s="9" t="str">
        <x:v>IMG_6302.JPG</x:v>
      </x:c>
      <x:c r="B43" s="9" t="str">
        <x:v>Lenovo</x:v>
      </x:c>
      <x:c r="C43" s="9" t="str">
        <x:v>D22238QP0</x:v>
      </x:c>
      <x:c r="D43" s="9" t="str">
        <x:v>63B3-GAR6-WW</x:v>
      </x:c>
      <x:c r="E43" s="9" t="str">
        <x:v>V9-OEYA9B</x:v>
      </x:c>
      <x:c r="F43" s="9" t="str">
        <x:v>5D11J31074</x:v>
      </x:c>
      <x:c r="G43" s="10" t="n">
        <x:v>45750</x:v>
      </x:c>
      <x:c r="H43" s="11" t="str">
        <x:v>High</x:v>
      </x:c>
      <x:c r="I43" s="11" t="str">
        <x:v>Ready</x:v>
      </x:c>
      <x:c r="J43" s="15" t="str"/>
      <x:c r="K43" s="15" t="str">
        <x:v>C:\Users\AlejandroAcosta\Documents\ai-workstation\work\monitor_inventory_2026-07-27\monitors\IMG_6302.JPG</x:v>
      </x:c>
    </x:row>
    <x:row r="44">
      <x:c r="A44" s="9" t="str">
        <x:v>IMG_6303.JPG</x:v>
      </x:c>
      <x:c r="B44" s="9" t="str">
        <x:v>Lenovo</x:v>
      </x:c>
      <x:c r="C44" s="9" t="str">
        <x:v>T2254pC</x:v>
      </x:c>
      <x:c r="D44" s="9" t="str">
        <x:v>60E1-MAR2-WW</x:v>
      </x:c>
      <x:c r="E44" s="9" t="str">
        <x:v>VNA21P7D</x:v>
      </x:c>
      <x:c r="F44" s="9" t="str">
        <x:v>00PC018</x:v>
      </x:c>
      <x:c r="G44" s="10" t="n">
        <x:v>42996</x:v>
      </x:c>
      <x:c r="H44" s="11" t="str">
        <x:v>High</x:v>
      </x:c>
      <x:c r="I44" s="11" t="str">
        <x:v>Ready</x:v>
      </x:c>
      <x:c r="J44" s="15" t="str"/>
      <x:c r="K44" s="15" t="str">
        <x:v>C:\Users\AlejandroAcosta\Documents\ai-workstation\work\monitor_inventory_2026-07-27\monitors\IMG_6303.JPG</x:v>
      </x:c>
    </x:row>
    <x:row r="45">
      <x:c r="A45" s="9" t="str">
        <x:v>IMG_6304.JPG</x:v>
      </x:c>
      <x:c r="B45" s="9" t="str">
        <x:v>Lenovo</x:v>
      </x:c>
      <x:c r="C45" s="9" t="str">
        <x:v>T2254pC</x:v>
      </x:c>
      <x:c r="D45" s="9" t="str">
        <x:v>60E1-MAR2-WW</x:v>
      </x:c>
      <x:c r="E45" s="9" t="str">
        <x:v>VNA21PCR</x:v>
      </x:c>
      <x:c r="F45" s="9" t="str">
        <x:v>00PC018</x:v>
      </x:c>
      <x:c r="G45" s="10" t="n">
        <x:v>42996</x:v>
      </x:c>
      <x:c r="H45" s="11" t="str">
        <x:v>High</x:v>
      </x:c>
      <x:c r="I45" s="11" t="str">
        <x:v>Ready</x:v>
      </x:c>
      <x:c r="J45" s="15" t="str"/>
      <x:c r="K45" s="15" t="str">
        <x:v>C:\Users\AlejandroAcosta\Documents\ai-workstation\work\monitor_inventory_2026-07-27\monitors\IMG_6304.JPG</x:v>
      </x:c>
    </x:row>
    <x:row r="46">
      <x:c r="A46" s="9" t="str">
        <x:v>IMG_6305.JPG</x:v>
      </x:c>
      <x:c r="B46" s="9" t="str">
        <x:v>Lenovo</x:v>
      </x:c>
      <x:c r="C46" s="9" t="str">
        <x:v>T2254pC</x:v>
      </x:c>
      <x:c r="D46" s="9" t="str">
        <x:v>60E1-MAR2-WW</x:v>
      </x:c>
      <x:c r="E46" s="9" t="str">
        <x:v>VNA21P7Y</x:v>
      </x:c>
      <x:c r="F46" s="9" t="str">
        <x:v>00PC018</x:v>
      </x:c>
      <x:c r="G46" s="10" t="n">
        <x:v>42996</x:v>
      </x:c>
      <x:c r="H46" s="11" t="str">
        <x:v>High</x:v>
      </x:c>
      <x:c r="I46" s="11" t="str">
        <x:v>Ready</x:v>
      </x:c>
      <x:c r="J46" s="15" t="str"/>
      <x:c r="K46" s="15" t="str">
        <x:v>C:\Users\AlejandroAcosta\Documents\ai-workstation\work\monitor_inventory_2026-07-27\monitors\IMG_6305.JPG</x:v>
      </x:c>
    </x:row>
    <x:row r="47">
      <x:c r="A47" s="9" t="str">
        <x:v>IMG_6306.JPG</x:v>
      </x:c>
      <x:c r="B47" s="9" t="str">
        <x:v>Lenovo</x:v>
      </x:c>
      <x:c r="C47" s="9" t="str"/>
      <x:c r="D47" s="9" t="str">
        <x:v>1610-0088 EU</x:v>
      </x:c>
      <x:c r="E47" s="9" t="str">
        <x:v>V5MV8924</x:v>
      </x:c>
      <x:c r="F47" s="9" t="str">
        <x:v>OOPC160</x:v>
      </x:c>
      <x:c r="G47" s="10" t="n">
        <x:v>43733</x:v>
      </x:c>
      <x:c r="H47" s="11" t="str">
        <x:v>High</x:v>
      </x:c>
      <x:c r="I47" s="11" t="str">
        <x:v>Needs Review</x:v>
      </x:c>
      <x:c r="J47" s="15" t="str">
        <x:v>Model not confidently extracted</x:v>
      </x:c>
      <x:c r="K47" s="15" t="str">
        <x:v>C:\Users\AlejandroAcosta\Documents\ai-workstation\work\monitor_inventory_2026-07-27\monitors\IMG_6306.JPG</x:v>
      </x:c>
    </x:row>
    <x:row r="48">
      <x:c r="A48" s="9" t="str">
        <x:v>IMG_6307.JPG</x:v>
      </x:c>
      <x:c r="B48" s="9" t="str">
        <x:v>Lenovo</x:v>
      </x:c>
      <x:c r="C48" s="9" t="str">
        <x:v>T2254pC</x:v>
      </x:c>
      <x:c r="D48" s="9" t="str">
        <x:v>60E1-MAR2-WW</x:v>
      </x:c>
      <x:c r="E48" s="9" t="str">
        <x:v>VNA21PMX</x:v>
      </x:c>
      <x:c r="F48" s="9" t="str">
        <x:v>00PC018</x:v>
      </x:c>
      <x:c r="G48" s="10" t="n">
        <x:v>42996</x:v>
      </x:c>
      <x:c r="H48" s="11" t="str">
        <x:v>High</x:v>
      </x:c>
      <x:c r="I48" s="11" t="str">
        <x:v>Ready</x:v>
      </x:c>
      <x:c r="J48" s="15" t="str"/>
      <x:c r="K48" s="15" t="str">
        <x:v>C:\Users\AlejandroAcosta\Documents\ai-workstation\work\monitor_inventory_2026-07-27\monitors\IMG_6307.JPG</x:v>
      </x:c>
    </x:row>
    <x:row r="49">
      <x:c r="A49" s="9" t="str">
        <x:v>IMG_6308.JPG</x:v>
      </x:c>
      <x:c r="B49" s="9" t="str">
        <x:v>Lenovo</x:v>
      </x:c>
      <x:c r="C49" s="9" t="str">
        <x:v>T22i-10</x:v>
      </x:c>
      <x:c r="D49" s="9" t="str">
        <x:v>61A9-MAR1-WW</x:v>
      </x:c>
      <x:c r="E49" s="9" t="str">
        <x:v>V5MV8918</x:v>
      </x:c>
      <x:c r="F49" s="9" t="str">
        <x:v>00PC160</x:v>
      </x:c>
      <x:c r="G49" s="10" t="n">
        <x:v>43733</x:v>
      </x:c>
      <x:c r="H49" s="11" t="str">
        <x:v>High</x:v>
      </x:c>
      <x:c r="I49" s="11" t="str">
        <x:v>Ready</x:v>
      </x:c>
      <x:c r="J49" s="15" t="str"/>
      <x:c r="K49" s="15" t="str">
        <x:v>C:\Users\AlejandroAcosta\Documents\ai-workstation\work\monitor_inventory_2026-07-27\monitors\IMG_6308.JPG</x:v>
      </x:c>
    </x:row>
    <x:row r="50">
      <x:c r="A50" s="9" t="str">
        <x:v>IMG_6309.JPG</x:v>
      </x:c>
      <x:c r="B50" s="9" t="str">
        <x:v>Lenovo</x:v>
      </x:c>
      <x:c r="C50" s="9" t="str">
        <x:v>T2254pC</x:v>
      </x:c>
      <x:c r="D50" s="9" t="str">
        <x:v>60E1-MAR2-WW</x:v>
      </x:c>
      <x:c r="E50" s="9" t="str">
        <x:v>VNA21PGR</x:v>
      </x:c>
      <x:c r="F50" s="9" t="str">
        <x:v>00PC018</x:v>
      </x:c>
      <x:c r="G50" s="10" t="n">
        <x:v>42996</x:v>
      </x:c>
      <x:c r="H50" s="11" t="str">
        <x:v>High</x:v>
      </x:c>
      <x:c r="I50" s="11" t="str">
        <x:v>Ready</x:v>
      </x:c>
      <x:c r="J50" s="15" t="str"/>
      <x:c r="K50" s="15" t="str">
        <x:v>C:\Users\AlejandroAcosta\Documents\ai-workstation\work\monitor_inventory_2026-07-27\monitors\IMG_6309.JPG</x:v>
      </x:c>
    </x:row>
    <x:row r="51">
      <x:c r="A51" s="9" t="str">
        <x:v>IMG_6310.JPG</x:v>
      </x:c>
      <x:c r="B51" s="9" t="str">
        <x:v>Lenovo</x:v>
      </x:c>
      <x:c r="C51" s="9" t="str">
        <x:v>T22i-10</x:v>
      </x:c>
      <x:c r="D51" s="9" t="str">
        <x:v>61A9-MAR1-WW</x:v>
      </x:c>
      <x:c r="E51" s="9" t="str">
        <x:v>V5LA0533</x:v>
      </x:c>
      <x:c r="F51" s="9" t="str">
        <x:v>00PC160</x:v>
      </x:c>
      <x:c r="G51" s="10" t="n">
        <x:v>43645</x:v>
      </x:c>
      <x:c r="H51" s="11" t="str">
        <x:v>High</x:v>
      </x:c>
      <x:c r="I51" s="11" t="str">
        <x:v>Ready</x:v>
      </x:c>
      <x:c r="J51" s="15" t="str"/>
      <x:c r="K51" s="15" t="str">
        <x:v>C:\Users\AlejandroAcosta\Documents\ai-workstation\work\monitor_inventory_2026-07-27\monitors\IMG_6310.JPG</x:v>
      </x:c>
    </x:row>
    <x:row r="52">
      <x:c r="A52" s="9" t="str">
        <x:v>IMG_6311.JPG</x:v>
      </x:c>
      <x:c r="B52" s="9" t="str">
        <x:v>Lenovo</x:v>
      </x:c>
      <x:c r="C52" s="9" t="str">
        <x:v>T2254pC</x:v>
      </x:c>
      <x:c r="D52" s="9" t="str">
        <x:v>60E1-MAR2-WW</x:v>
      </x:c>
      <x:c r="E52" s="9" t="str">
        <x:v>VNA21PHT</x:v>
      </x:c>
      <x:c r="F52" s="9" t="str">
        <x:v>00PC018</x:v>
      </x:c>
      <x:c r="G52" s="10" t="n">
        <x:v>42996</x:v>
      </x:c>
      <x:c r="H52" s="11" t="str">
        <x:v>High</x:v>
      </x:c>
      <x:c r="I52" s="11" t="str">
        <x:v>Ready</x:v>
      </x:c>
      <x:c r="J52" s="15" t="str"/>
      <x:c r="K52" s="15" t="str">
        <x:v>C:\Users\AlejandroAcosta\Documents\ai-workstation\work\monitor_inventory_2026-07-27\monitors\IMG_6311.JPG</x:v>
      </x:c>
    </x:row>
    <x:row r="53">
      <x:c r="A53" s="9" t="str">
        <x:v>IMG_6312.JPG</x:v>
      </x:c>
      <x:c r="B53" s="9" t="str">
        <x:v>Lenovo</x:v>
      </x:c>
      <x:c r="C53" s="9" t="str">
        <x:v>T2254pC</x:v>
      </x:c>
      <x:c r="D53" s="9" t="str">
        <x:v>60E1-MAR2-WW</x:v>
      </x:c>
      <x:c r="E53" s="9" t="str">
        <x:v>VNA21PCX</x:v>
      </x:c>
      <x:c r="F53" s="9" t="str">
        <x:v>00PC018</x:v>
      </x:c>
      <x:c r="G53" s="10" t="n">
        <x:v>42996</x:v>
      </x:c>
      <x:c r="H53" s="11" t="str">
        <x:v>High</x:v>
      </x:c>
      <x:c r="I53" s="11" t="str">
        <x:v>Ready</x:v>
      </x:c>
      <x:c r="J53" s="15" t="str"/>
      <x:c r="K53" s="15" t="str">
        <x:v>C:\Users\AlejandroAcosta\Documents\ai-workstation\work\monitor_inventory_2026-07-27\monitors\IMG_6312.JPG</x:v>
      </x:c>
    </x:row>
    <x:row r="54">
      <x:c r="A54" s="9" t="str">
        <x:v>IMG_6313.JPG</x:v>
      </x:c>
      <x:c r="B54" s="9" t="str">
        <x:v>Lenovo</x:v>
      </x:c>
      <x:c r="C54" s="9" t="str">
        <x:v>T2254pC</x:v>
      </x:c>
      <x:c r="D54" s="9" t="str">
        <x:v>60E1-MAR2-WW</x:v>
      </x:c>
      <x:c r="E54" s="9" t="str">
        <x:v>VNA21P7K</x:v>
      </x:c>
      <x:c r="F54" s="9" t="str">
        <x:v>00PC018</x:v>
      </x:c>
      <x:c r="G54" s="10" t="n">
        <x:v>42996</x:v>
      </x:c>
      <x:c r="H54" s="11" t="str">
        <x:v>High</x:v>
      </x:c>
      <x:c r="I54" s="11" t="str">
        <x:v>Ready</x:v>
      </x:c>
      <x:c r="J54" s="15" t="str"/>
      <x:c r="K54" s="15" t="str">
        <x:v>C:\Users\AlejandroAcosta\Documents\ai-workstation\work\monitor_inventory_2026-07-27\monitors\IMG_6313.JPG</x:v>
      </x:c>
    </x:row>
    <x:row r="55">
      <x:c r="A55" s="9" t="str">
        <x:v>IMG_6314.JPG</x:v>
      </x:c>
      <x:c r="B55" s="9" t="str">
        <x:v>Lenovo</x:v>
      </x:c>
      <x:c r="C55" s="9" t="str">
        <x:v>T2254pC</x:v>
      </x:c>
      <x:c r="D55" s="9" t="str">
        <x:v>60E1-MAR2-WW</x:v>
      </x:c>
      <x:c r="E55" s="9" t="str">
        <x:v>VNA21P7V</x:v>
      </x:c>
      <x:c r="F55" s="9" t="str">
        <x:v>00PC018</x:v>
      </x:c>
      <x:c r="G55" s="10"/>
      <x:c r="H55" s="11" t="str">
        <x:v>High</x:v>
      </x:c>
      <x:c r="I55" s="11" t="str">
        <x:v>Needs Review</x:v>
      </x:c>
      <x:c r="J55" s="15" t="str">
        <x:v>Manufacture date not extracted</x:v>
      </x:c>
      <x:c r="K55" s="15" t="str">
        <x:v>C:\Users\AlejandroAcosta\Documents\ai-workstation\work\monitor_inventory_2026-07-27\monitors\IMG_6314.JPG</x:v>
      </x:c>
    </x:row>
    <x:row r="56">
      <x:c r="A56" s="9" t="str">
        <x:v>IMG_6315.JPG</x:v>
      </x:c>
      <x:c r="B56" s="9" t="str">
        <x:v>Lenovo</x:v>
      </x:c>
      <x:c r="C56" s="9" t="str">
        <x:v>T2254pC</x:v>
      </x:c>
      <x:c r="D56" s="9" t="str">
        <x:v>60E1-MAR2-WW</x:v>
      </x:c>
      <x:c r="E56" s="9" t="str">
        <x:v>VNA21PHV</x:v>
      </x:c>
      <x:c r="F56" s="9" t="str">
        <x:v>00PC018</x:v>
      </x:c>
      <x:c r="G56" s="10" t="n">
        <x:v>42996</x:v>
      </x:c>
      <x:c r="H56" s="11" t="str">
        <x:v>High</x:v>
      </x:c>
      <x:c r="I56" s="11" t="str">
        <x:v>Ready</x:v>
      </x:c>
      <x:c r="J56" s="15" t="str"/>
      <x:c r="K56" s="15" t="str">
        <x:v>C:\Users\AlejandroAcosta\Documents\ai-workstation\work\monitor_inventory_2026-07-27\monitors\IMG_6315.JPG</x:v>
      </x:c>
    </x:row>
    <x:row r="57">
      <x:c r="A57" s="9" t="str">
        <x:v>IMG_6316.JPG</x:v>
      </x:c>
      <x:c r="B57" s="9" t="str">
        <x:v>Lenovo</x:v>
      </x:c>
      <x:c r="C57" s="9" t="str">
        <x:v>T2254pC</x:v>
      </x:c>
      <x:c r="D57" s="9" t="str">
        <x:v>60E1-MAR2-WW</x:v>
      </x:c>
      <x:c r="E57" s="9" t="str">
        <x:v>VNA20HBB</x:v>
      </x:c>
      <x:c r="F57" s="9" t="str">
        <x:v>00PC018</x:v>
      </x:c>
      <x:c r="G57" s="10" t="n">
        <x:v>42956</x:v>
      </x:c>
      <x:c r="H57" s="11" t="str">
        <x:v>High</x:v>
      </x:c>
      <x:c r="I57" s="11" t="str">
        <x:v>Ready</x:v>
      </x:c>
      <x:c r="J57" s="15" t="str"/>
      <x:c r="K57" s="15" t="str">
        <x:v>C:\Users\AlejandroAcosta\Documents\ai-workstation\work\monitor_inventory_2026-07-27\monitors\IMG_6316.JPG</x:v>
      </x:c>
    </x:row>
    <x:row r="58">
      <x:c r="A58" s="9" t="str">
        <x:v>IMG_6317.JPG</x:v>
      </x:c>
      <x:c r="B58" s="9" t="str">
        <x:v>Lenovo</x:v>
      </x:c>
      <x:c r="C58" s="9" t="str">
        <x:v>T2254pC</x:v>
      </x:c>
      <x:c r="D58" s="9" t="str">
        <x:v>60E1-MAR2-WW</x:v>
      </x:c>
      <x:c r="E58" s="9" t="str">
        <x:v>VNA21PCW</x:v>
      </x:c>
      <x:c r="F58" s="9" t="str">
        <x:v>00PC018</x:v>
      </x:c>
      <x:c r="G58" s="10" t="n">
        <x:v>42996</x:v>
      </x:c>
      <x:c r="H58" s="11" t="str">
        <x:v>High</x:v>
      </x:c>
      <x:c r="I58" s="11" t="str">
        <x:v>Ready</x:v>
      </x:c>
      <x:c r="J58" s="15" t="str"/>
      <x:c r="K58" s="15" t="str">
        <x:v>C:\Users\AlejandroAcosta\Documents\ai-workstation\work\monitor_inventory_2026-07-27\monitors\IMG_6317.JPG</x:v>
      </x:c>
    </x:row>
    <x:row r="59">
      <x:c r="A59" s="9" t="str">
        <x:v>IMG_6318.JPG</x:v>
      </x:c>
      <x:c r="B59" s="9" t="str">
        <x:v>Lenovo</x:v>
      </x:c>
      <x:c r="C59" s="9" t="str">
        <x:v>T2254pC</x:v>
      </x:c>
      <x:c r="D59" s="9" t="str">
        <x:v>60E1-MAR2-WW</x:v>
      </x:c>
      <x:c r="E59" s="9" t="str">
        <x:v>VNA21PD8</x:v>
      </x:c>
      <x:c r="F59" s="9" t="str">
        <x:v>00PC018</x:v>
      </x:c>
      <x:c r="G59" s="10"/>
      <x:c r="H59" s="11" t="str">
        <x:v>High</x:v>
      </x:c>
      <x:c r="I59" s="11" t="str">
        <x:v>Needs Review</x:v>
      </x:c>
      <x:c r="J59" s="15" t="str">
        <x:v>Manufacture date not extracted</x:v>
      </x:c>
      <x:c r="K59" s="15" t="str">
        <x:v>C:\Users\AlejandroAcosta\Documents\ai-workstation\work\monitor_inventory_2026-07-27\monitors\IMG_6318.JPG</x:v>
      </x:c>
    </x:row>
    <x:row r="60">
      <x:c r="A60" s="9" t="str">
        <x:v>IMG_6319.JPG</x:v>
      </x:c>
      <x:c r="B60" s="9" t="str">
        <x:v>Lenovo</x:v>
      </x:c>
      <x:c r="C60" s="9" t="str">
        <x:v>T2254pC</x:v>
      </x:c>
      <x:c r="D60" s="9" t="str">
        <x:v>60E1-MAR2-WW</x:v>
      </x:c>
      <x:c r="E60" s="9" t="str">
        <x:v>VNA26G8H</x:v>
      </x:c>
      <x:c r="F60" s="9" t="str">
        <x:v>00PC018</x:v>
      </x:c>
      <x:c r="G60" s="10" t="n">
        <x:v>43160</x:v>
      </x:c>
      <x:c r="H60" s="11" t="str">
        <x:v>High</x:v>
      </x:c>
      <x:c r="I60" s="11" t="str">
        <x:v>Ready</x:v>
      </x:c>
      <x:c r="J60" s="15" t="str"/>
      <x:c r="K60" s="15" t="str">
        <x:v>C:\Users\AlejandroAcosta\Documents\ai-workstation\work\monitor_inventory_2026-07-27\monitors\IMG_6319.JPG</x:v>
      </x:c>
    </x:row>
    <x:row r="61">
      <x:c r="A61" s="9" t="str">
        <x:v>IMG_6321.JPG</x:v>
      </x:c>
      <x:c r="B61" s="9" t="str">
        <x:v>Lenovo</x:v>
      </x:c>
      <x:c r="C61" s="9" t="str">
        <x:v>T2254pC</x:v>
      </x:c>
      <x:c r="D61" s="9" t="str">
        <x:v>60E1-MAR2-WW</x:v>
      </x:c>
      <x:c r="E61" s="9" t="str">
        <x:v>VNA20ML9</x:v>
      </x:c>
      <x:c r="F61" s="9" t="str">
        <x:v>00PC018</x:v>
      </x:c>
      <x:c r="G61" s="10" t="n">
        <x:v>42961</x:v>
      </x:c>
      <x:c r="H61" s="11" t="str">
        <x:v>High</x:v>
      </x:c>
      <x:c r="I61" s="11" t="str">
        <x:v>Ready</x:v>
      </x:c>
      <x:c r="J61" s="15" t="str"/>
      <x:c r="K61" s="15" t="str">
        <x:v>C:\Users\AlejandroAcosta\Documents\ai-workstation\work\monitor_inventory_2026-07-27\monitors\IMG_6321.JPG</x:v>
      </x:c>
    </x:row>
    <x:row r="62">
      <x:c r="A62" s="9" t="str">
        <x:v>IMG_6322.JPG</x:v>
      </x:c>
      <x:c r="B62" s="9" t="str">
        <x:v>Lenovo</x:v>
      </x:c>
      <x:c r="C62" s="9" t="str">
        <x:v>T2254pC</x:v>
      </x:c>
      <x:c r="D62" s="9" t="str">
        <x:v>60E1-MAR2-WW</x:v>
      </x:c>
      <x:c r="E62" s="9" t="str">
        <x:v>VNA20MKZ</x:v>
      </x:c>
      <x:c r="F62" s="9" t="str">
        <x:v>00PC018</x:v>
      </x:c>
      <x:c r="G62" s="10" t="n">
        <x:v>42961</x:v>
      </x:c>
      <x:c r="H62" s="11" t="str">
        <x:v>High</x:v>
      </x:c>
      <x:c r="I62" s="11" t="str">
        <x:v>Ready</x:v>
      </x:c>
      <x:c r="J62" s="15" t="str"/>
      <x:c r="K62" s="15" t="str">
        <x:v>C:\Users\AlejandroAcosta\Documents\ai-workstation\work\monitor_inventory_2026-07-27\monitors\IMG_6322.JPG</x:v>
      </x:c>
    </x:row>
    <x:row r="63">
      <x:c r="A63" s="9" t="str">
        <x:v>IMG_6323.JPG</x:v>
      </x:c>
      <x:c r="B63" s="9" t="str">
        <x:v>Lenovo</x:v>
      </x:c>
      <x:c r="C63" s="9" t="str">
        <x:v>T2254pC</x:v>
      </x:c>
      <x:c r="D63" s="9" t="str">
        <x:v>60E1-MAR2-WW</x:v>
      </x:c>
      <x:c r="E63" s="9" t="str">
        <x:v>VNA21PMR</x:v>
      </x:c>
      <x:c r="F63" s="9" t="str">
        <x:v>00PC018</x:v>
      </x:c>
      <x:c r="G63" s="10" t="n">
        <x:v>42996</x:v>
      </x:c>
      <x:c r="H63" s="11" t="str">
        <x:v>High</x:v>
      </x:c>
      <x:c r="I63" s="11" t="str">
        <x:v>Ready</x:v>
      </x:c>
      <x:c r="J63" s="15" t="str"/>
      <x:c r="K63" s="15" t="str">
        <x:v>C:\Users\AlejandroAcosta\Documents\ai-workstation\work\monitor_inventory_2026-07-27\monitors\IMG_6323.JPG</x:v>
      </x:c>
    </x:row>
    <x:row r="64">
      <x:c r="A64" s="9" t="str">
        <x:v>IMG_6324.JPG</x:v>
      </x:c>
      <x:c r="B64" s="9" t="str">
        <x:v>Lenovo</x:v>
      </x:c>
      <x:c r="C64" s="9" t="str">
        <x:v>T2254pC</x:v>
      </x:c>
      <x:c r="D64" s="9" t="str">
        <x:v>60E1-MAR2-WW</x:v>
      </x:c>
      <x:c r="E64" s="9" t="str">
        <x:v>VNA21PHC</x:v>
      </x:c>
      <x:c r="F64" s="9" t="str">
        <x:v>00PC018</x:v>
      </x:c>
      <x:c r="G64" s="10" t="n">
        <x:v>42996</x:v>
      </x:c>
      <x:c r="H64" s="11" t="str">
        <x:v>High</x:v>
      </x:c>
      <x:c r="I64" s="11" t="str">
        <x:v>Ready</x:v>
      </x:c>
      <x:c r="J64" s="15" t="str"/>
      <x:c r="K64" s="15" t="str">
        <x:v>C:\Users\AlejandroAcosta\Documents\ai-workstation\work\monitor_inventory_2026-07-27\monitors\IMG_6324.JPG</x:v>
      </x:c>
    </x:row>
    <x:row r="65">
      <x:c r="A65" s="9" t="str">
        <x:v>IMG_6325.JPG</x:v>
      </x:c>
      <x:c r="B65" s="9" t="str">
        <x:v>Lenovo</x:v>
      </x:c>
      <x:c r="C65" s="9" t="str">
        <x:v>T2254pC</x:v>
      </x:c>
      <x:c r="D65" s="9" t="str">
        <x:v>60E1-MAR2-WW</x:v>
      </x:c>
      <x:c r="E65" s="9" t="str">
        <x:v>VNA21PH9</x:v>
      </x:c>
      <x:c r="F65" s="9" t="str">
        <x:v>00PC018</x:v>
      </x:c>
      <x:c r="G65" s="10" t="n">
        <x:v>42996</x:v>
      </x:c>
      <x:c r="H65" s="11" t="str">
        <x:v>High</x:v>
      </x:c>
      <x:c r="I65" s="11" t="str">
        <x:v>Ready</x:v>
      </x:c>
      <x:c r="J65" s="15" t="str"/>
      <x:c r="K65" s="15" t="str">
        <x:v>C:\Users\AlejandroAcosta\Documents\ai-workstation\work\monitor_inventory_2026-07-27\monitors\IMG_6325.JPG</x:v>
      </x:c>
    </x:row>
    <x:row r="66">
      <x:c r="A66" s="9" t="str">
        <x:v>IMG_6326.JPG</x:v>
      </x:c>
      <x:c r="B66" s="9" t="str"/>
      <x:c r="C66" s="9" t="str"/>
      <x:c r="D66" s="9" t="str"/>
      <x:c r="E66" s="9" t="str"/>
      <x:c r="F66" s="9" t="str"/>
      <x:c r="G66" s="10"/>
      <x:c r="H66" s="11" t="str">
        <x:v>Low</x:v>
      </x:c>
      <x:c r="I66" s="11" t="str">
        <x:v>Needs Review</x:v>
      </x:c>
      <x:c r="J66" s="15" t="str">
        <x:v>Serial not confidently extracted; Model not confidently extracted; Manufacture date not extracted; No OCR text</x:v>
      </x:c>
      <x:c r="K66" s="15" t="str">
        <x:v>C:\Users\AlejandroAcosta\Documents\ai-workstation\work\monitor_inventory_2026-07-27\monitors\IMG_6326.JPG</x:v>
      </x:c>
    </x:row>
    <x:row r="67">
      <x:c r="A67" s="9" t="str">
        <x:v>IMG_6327.JPG</x:v>
      </x:c>
      <x:c r="B67" s="9" t="str">
        <x:v>Lenovo</x:v>
      </x:c>
      <x:c r="C67" s="9" t="str">
        <x:v>T2254pC</x:v>
      </x:c>
      <x:c r="D67" s="9" t="str">
        <x:v>60E1-MAR2-WW</x:v>
      </x:c>
      <x:c r="E67" s="9" t="str">
        <x:v>VNA21PF6</x:v>
      </x:c>
      <x:c r="F67" s="9" t="str">
        <x:v>00PC018</x:v>
      </x:c>
      <x:c r="G67" s="10"/>
      <x:c r="H67" s="11" t="str">
        <x:v>High</x:v>
      </x:c>
      <x:c r="I67" s="11" t="str">
        <x:v>Needs Review</x:v>
      </x:c>
      <x:c r="J67" s="15" t="str">
        <x:v>Manufacture date not extracted</x:v>
      </x:c>
      <x:c r="K67" s="15" t="str">
        <x:v>C:\Users\AlejandroAcosta\Documents\ai-workstation\work\monitor_inventory_2026-07-27\monitors\IMG_6327.JPG</x:v>
      </x:c>
    </x:row>
    <x:row r="68">
      <x:c r="A68" s="9" t="str">
        <x:v>IMG_6328.JPG</x:v>
      </x:c>
      <x:c r="B68" s="9" t="str">
        <x:v>Lenovo</x:v>
      </x:c>
      <x:c r="C68" s="9" t="str">
        <x:v>T2254pC</x:v>
      </x:c>
      <x:c r="D68" s="9" t="str">
        <x:v>60E1-MAR2-WW</x:v>
      </x:c>
      <x:c r="E68" s="9" t="str">
        <x:v>VNA21PMP</x:v>
      </x:c>
      <x:c r="F68" s="9" t="str">
        <x:v>00PC018</x:v>
      </x:c>
      <x:c r="G68" s="10" t="n">
        <x:v>42996</x:v>
      </x:c>
      <x:c r="H68" s="11" t="str">
        <x:v>High</x:v>
      </x:c>
      <x:c r="I68" s="11" t="str">
        <x:v>Ready</x:v>
      </x:c>
      <x:c r="J68" s="15" t="str"/>
      <x:c r="K68" s="15" t="str">
        <x:v>C:\Users\AlejandroAcosta\Documents\ai-workstation\work\monitor_inventory_2026-07-27\monitors\IMG_6328.JPG</x:v>
      </x:c>
    </x:row>
    <x:row r="69">
      <x:c r="A69" s="9" t="str">
        <x:v>IMG_6329.JPG</x:v>
      </x:c>
      <x:c r="B69" s="9" t="str">
        <x:v>Lenovo</x:v>
      </x:c>
      <x:c r="C69" s="9" t="str">
        <x:v>T2254pC</x:v>
      </x:c>
      <x:c r="D69" s="9" t="str">
        <x:v>60E1-MAR2-WW</x:v>
      </x:c>
      <x:c r="E69" s="9" t="str">
        <x:v>VNA21PD2</x:v>
      </x:c>
      <x:c r="F69" s="9" t="str">
        <x:v>00PC018</x:v>
      </x:c>
      <x:c r="G69" s="10" t="n">
        <x:v>42996</x:v>
      </x:c>
      <x:c r="H69" s="11" t="str">
        <x:v>High</x:v>
      </x:c>
      <x:c r="I69" s="11" t="str">
        <x:v>Ready</x:v>
      </x:c>
      <x:c r="J69" s="15" t="str"/>
      <x:c r="K69" s="15" t="str">
        <x:v>C:\Users\AlejandroAcosta\Documents\ai-workstation\work\monitor_inventory_2026-07-27\monitors\IMG_6329.JPG</x:v>
      </x:c>
    </x:row>
    <x:row r="70">
      <x:c r="A70" s="9" t="str">
        <x:v>IMG_6330.JPG</x:v>
      </x:c>
      <x:c r="B70" s="9" t="str">
        <x:v>Lenovo</x:v>
      </x:c>
      <x:c r="C70" s="9" t="str">
        <x:v>T2254pC</x:v>
      </x:c>
      <x:c r="D70" s="9" t="str">
        <x:v>60E1-MAR2-WW</x:v>
      </x:c>
      <x:c r="E70" s="9" t="str">
        <x:v>VNA21N96</x:v>
      </x:c>
      <x:c r="F70" s="9" t="str">
        <x:v>00PC018</x:v>
      </x:c>
      <x:c r="G70" s="10" t="n">
        <x:v>42996</x:v>
      </x:c>
      <x:c r="H70" s="11" t="str">
        <x:v>High</x:v>
      </x:c>
      <x:c r="I70" s="11" t="str">
        <x:v>Ready</x:v>
      </x:c>
      <x:c r="J70" s="15" t="str"/>
      <x:c r="K70" s="15" t="str">
        <x:v>C:\Users\AlejandroAcosta\Documents\ai-workstation\work\monitor_inventory_2026-07-27\monitors\IMG_6330.JPG</x:v>
      </x:c>
    </x:row>
    <x:row r="71">
      <x:c r="A71" s="9" t="str">
        <x:v>IMG_6331.JPG</x:v>
      </x:c>
      <x:c r="B71" s="9" t="str">
        <x:v>Lenovo</x:v>
      </x:c>
      <x:c r="C71" s="9" t="str">
        <x:v>T2254pC</x:v>
      </x:c>
      <x:c r="D71" s="9" t="str">
        <x:v>60E1-MAR2-WW</x:v>
      </x:c>
      <x:c r="E71" s="9" t="str">
        <x:v>VNA20MK8</x:v>
      </x:c>
      <x:c r="F71" s="9" t="str">
        <x:v>00PC018</x:v>
      </x:c>
      <x:c r="G71" s="10" t="n">
        <x:v>42961</x:v>
      </x:c>
      <x:c r="H71" s="11" t="str">
        <x:v>High</x:v>
      </x:c>
      <x:c r="I71" s="11" t="str">
        <x:v>Ready</x:v>
      </x:c>
      <x:c r="J71" s="15" t="str"/>
      <x:c r="K71" s="15" t="str">
        <x:v>C:\Users\AlejandroAcosta\Documents\ai-workstation\work\monitor_inventory_2026-07-27\monitors\IMG_6331.JPG</x:v>
      </x:c>
    </x:row>
    <x:row r="72">
      <x:c r="A72" s="9" t="str">
        <x:v>IMG_6332.JPG</x:v>
      </x:c>
      <x:c r="B72" s="9" t="str">
        <x:v>Lenovo</x:v>
      </x:c>
      <x:c r="C72" s="9" t="str">
        <x:v>T2254pC</x:v>
      </x:c>
      <x:c r="D72" s="9" t="str">
        <x:v>60E1-MAR2-WW</x:v>
      </x:c>
      <x:c r="E72" s="9" t="str">
        <x:v>VNA21PDY</x:v>
      </x:c>
      <x:c r="F72" s="9" t="str">
        <x:v>00PC018</x:v>
      </x:c>
      <x:c r="G72" s="10" t="n">
        <x:v>42996</x:v>
      </x:c>
      <x:c r="H72" s="11" t="str">
        <x:v>High</x:v>
      </x:c>
      <x:c r="I72" s="11" t="str">
        <x:v>Ready</x:v>
      </x:c>
      <x:c r="J72" s="15" t="str"/>
      <x:c r="K72" s="15" t="str">
        <x:v>C:\Users\AlejandroAcosta\Documents\ai-workstation\work\monitor_inventory_2026-07-27\monitors\IMG_6332.JPG</x:v>
      </x:c>
    </x:row>
    <x:row r="73">
      <x:c r="A73" s="9" t="str">
        <x:v>IMG_6333.JPG</x:v>
      </x:c>
      <x:c r="B73" s="9" t="str">
        <x:v>Lenovo</x:v>
      </x:c>
      <x:c r="C73" s="9" t="str">
        <x:v>T2254pC</x:v>
      </x:c>
      <x:c r="D73" s="9" t="str">
        <x:v>60E1-MAR2-WW</x:v>
      </x:c>
      <x:c r="E73" s="9" t="str">
        <x:v>VNA21NDX</x:v>
      </x:c>
      <x:c r="F73" s="9" t="str">
        <x:v>00PC018</x:v>
      </x:c>
      <x:c r="G73" s="10" t="n">
        <x:v>42996</x:v>
      </x:c>
      <x:c r="H73" s="11" t="str">
        <x:v>High</x:v>
      </x:c>
      <x:c r="I73" s="11" t="str">
        <x:v>Ready</x:v>
      </x:c>
      <x:c r="J73" s="15" t="str"/>
      <x:c r="K73" s="15" t="str">
        <x:v>C:\Users\AlejandroAcosta\Documents\ai-workstation\work\monitor_inventory_2026-07-27\monitors\IMG_6333.JPG</x:v>
      </x:c>
    </x:row>
    <x:row r="74">
      <x:c r="A74" s="9" t="str">
        <x:v>IMG_6334.JPG</x:v>
      </x:c>
      <x:c r="B74" s="9" t="str">
        <x:v>Lenovo</x:v>
      </x:c>
      <x:c r="C74" s="9" t="str">
        <x:v>T2254pC</x:v>
      </x:c>
      <x:c r="D74" s="9" t="str">
        <x:v>60E1-MAR2-WW</x:v>
      </x:c>
      <x:c r="E74" s="9" t="str">
        <x:v>VNA21PHN</x:v>
      </x:c>
      <x:c r="F74" s="9" t="str">
        <x:v>00PC018</x:v>
      </x:c>
      <x:c r="G74" s="10" t="n">
        <x:v>42996</x:v>
      </x:c>
      <x:c r="H74" s="11" t="str">
        <x:v>High</x:v>
      </x:c>
      <x:c r="I74" s="11" t="str">
        <x:v>Ready</x:v>
      </x:c>
      <x:c r="J74" s="15" t="str"/>
      <x:c r="K74" s="15" t="str">
        <x:v>C:\Users\AlejandroAcosta\Documents\ai-workstation\work\monitor_inventory_2026-07-27\monitors\IMG_6334.JPG</x:v>
      </x:c>
    </x:row>
    <x:row r="75">
      <x:c r="A75" s="9" t="str">
        <x:v>IMG_6336.JPG</x:v>
      </x:c>
      <x:c r="B75" s="9" t="str">
        <x:v>Lenovo</x:v>
      </x:c>
      <x:c r="C75" s="9" t="str">
        <x:v>T22i-10</x:v>
      </x:c>
      <x:c r="D75" s="9" t="str">
        <x:v>61A9-MAR1-WW</x:v>
      </x:c>
      <x:c r="E75" s="9" t="str">
        <x:v>V5MV8684</x:v>
      </x:c>
      <x:c r="F75" s="9" t="str">
        <x:v>00PC160</x:v>
      </x:c>
      <x:c r="G75" s="10"/>
      <x:c r="H75" s="11" t="str">
        <x:v>High</x:v>
      </x:c>
      <x:c r="I75" s="11" t="str">
        <x:v>Needs Review</x:v>
      </x:c>
      <x:c r="J75" s="15" t="str">
        <x:v>Manufacture date not extracted</x:v>
      </x:c>
      <x:c r="K75" s="15" t="str">
        <x:v>C:\Users\AlejandroAcosta\Documents\ai-workstation\work\monitor_inventory_2026-07-27\monitors\IMG_6336.JPG</x:v>
      </x:c>
    </x:row>
    <x:row r="76">
      <x:c r="A76" s="9" t="str">
        <x:v>IMG_6337.JPG</x:v>
      </x:c>
      <x:c r="B76" s="9" t="str">
        <x:v>Lenovo</x:v>
      </x:c>
      <x:c r="C76" s="9" t="str">
        <x:v>T2254pC</x:v>
      </x:c>
      <x:c r="D76" s="9" t="str">
        <x:v>60E1-MAR2-WW</x:v>
      </x:c>
      <x:c r="E76" s="9" t="str">
        <x:v>VNA20MKF</x:v>
      </x:c>
      <x:c r="F76" s="9" t="str">
        <x:v>00PC018</x:v>
      </x:c>
      <x:c r="G76" s="10" t="n">
        <x:v>42961</x:v>
      </x:c>
      <x:c r="H76" s="11" t="str">
        <x:v>High</x:v>
      </x:c>
      <x:c r="I76" s="11" t="str">
        <x:v>Ready</x:v>
      </x:c>
      <x:c r="J76" s="15" t="str"/>
      <x:c r="K76" s="15" t="str">
        <x:v>C:\Users\AlejandroAcosta\Documents\ai-workstation\work\monitor_inventory_2026-07-27\monitors\IMG_6337.JPG</x:v>
      </x:c>
    </x:row>
    <x:row r="77">
      <x:c r="A77" s="9" t="str">
        <x:v>IMG_6338.JPG</x:v>
      </x:c>
      <x:c r="B77" s="9" t="str">
        <x:v>Lenovo</x:v>
      </x:c>
      <x:c r="C77" s="9" t="str">
        <x:v>T2254pC</x:v>
      </x:c>
      <x:c r="D77" s="9" t="str">
        <x:v>60E1-MAR2-WW</x:v>
      </x:c>
      <x:c r="E77" s="9" t="str">
        <x:v>VNA21PDW</x:v>
      </x:c>
      <x:c r="F77" s="9" t="str">
        <x:v>00PC018</x:v>
      </x:c>
      <x:c r="G77" s="10" t="n">
        <x:v>42996</x:v>
      </x:c>
      <x:c r="H77" s="11" t="str">
        <x:v>High</x:v>
      </x:c>
      <x:c r="I77" s="11" t="str">
        <x:v>Ready</x:v>
      </x:c>
      <x:c r="J77" s="15" t="str"/>
      <x:c r="K77" s="15" t="str">
        <x:v>C:\Users\AlejandroAcosta\Documents\ai-workstation\work\monitor_inventory_2026-07-27\monitors\IMG_6338.JPG</x:v>
      </x:c>
    </x:row>
    <x:row r="78">
      <x:c r="A78" s="9" t="str">
        <x:v>IMG_6339.JPG</x:v>
      </x:c>
      <x:c r="B78" s="9" t="str">
        <x:v>Lenovo</x:v>
      </x:c>
      <x:c r="C78" s="9" t="str">
        <x:v>T2254pC</x:v>
      </x:c>
      <x:c r="D78" s="9" t="str">
        <x:v>60E1-MAR2-WW</x:v>
      </x:c>
      <x:c r="E78" s="9" t="str">
        <x:v>VNA21PMZ</x:v>
      </x:c>
      <x:c r="F78" s="9" t="str">
        <x:v>00PC018</x:v>
      </x:c>
      <x:c r="G78" s="10" t="n">
        <x:v>42996</x:v>
      </x:c>
      <x:c r="H78" s="11" t="str">
        <x:v>High</x:v>
      </x:c>
      <x:c r="I78" s="11" t="str">
        <x:v>Ready</x:v>
      </x:c>
      <x:c r="J78" s="15" t="str"/>
      <x:c r="K78" s="15" t="str">
        <x:v>C:\Users\AlejandroAcosta\Documents\ai-workstation\work\monitor_inventory_2026-07-27\monitors\IMG_6339.JPG</x:v>
      </x:c>
    </x:row>
    <x:row r="79">
      <x:c r="A79" s="9" t="str">
        <x:v>IMG_6340.JPG</x:v>
      </x:c>
      <x:c r="B79" s="9" t="str">
        <x:v>Lenovo</x:v>
      </x:c>
      <x:c r="C79" s="9" t="str">
        <x:v>T2254pC</x:v>
      </x:c>
      <x:c r="D79" s="9" t="str">
        <x:v>60E1-MAR2-WW</x:v>
      </x:c>
      <x:c r="E79" s="9" t="str">
        <x:v>VNA21P7X</x:v>
      </x:c>
      <x:c r="F79" s="9" t="str">
        <x:v>00PC018</x:v>
      </x:c>
      <x:c r="G79" s="10" t="n">
        <x:v>42996</x:v>
      </x:c>
      <x:c r="H79" s="11" t="str">
        <x:v>High</x:v>
      </x:c>
      <x:c r="I79" s="11" t="str">
        <x:v>Ready</x:v>
      </x:c>
      <x:c r="J79" s="15" t="str"/>
      <x:c r="K79" s="15" t="str">
        <x:v>C:\Users\AlejandroAcosta\Documents\ai-workstation\work\monitor_inventory_2026-07-27\monitors\IMG_6340.JPG</x:v>
      </x:c>
    </x:row>
    <x:row r="80">
      <x:c r="A80" s="9" t="str">
        <x:v>IMG_6341.JPG</x:v>
      </x:c>
      <x:c r="B80" s="9" t="str">
        <x:v>Lenovo</x:v>
      </x:c>
      <x:c r="C80" s="9" t="str">
        <x:v>T2254pC</x:v>
      </x:c>
      <x:c r="D80" s="9" t="str">
        <x:v>60E1-MAR2-WW</x:v>
      </x:c>
      <x:c r="E80" s="9" t="str">
        <x:v>VNA21N98</x:v>
      </x:c>
      <x:c r="F80" s="9" t="str">
        <x:v>00PC018</x:v>
      </x:c>
      <x:c r="G80" s="10" t="n">
        <x:v>42996</x:v>
      </x:c>
      <x:c r="H80" s="11" t="str">
        <x:v>High</x:v>
      </x:c>
      <x:c r="I80" s="11" t="str">
        <x:v>Ready</x:v>
      </x:c>
      <x:c r="J80" s="15" t="str"/>
      <x:c r="K80" s="15" t="str">
        <x:v>C:\Users\AlejandroAcosta\Documents\ai-workstation\work\monitor_inventory_2026-07-27\monitors\IMG_6341.JPG</x:v>
      </x:c>
    </x:row>
    <x:row r="81">
      <x:c r="A81" s="9" t="str">
        <x:v>IMG_6343.JPG</x:v>
      </x:c>
      <x:c r="B81" s="9" t="str">
        <x:v>Lenovo</x:v>
      </x:c>
      <x:c r="C81" s="9" t="str">
        <x:v>T22i-10</x:v>
      </x:c>
      <x:c r="D81" s="9" t="str">
        <x:v>61A9-MAR1-WW</x:v>
      </x:c>
      <x:c r="E81" s="9" t="str">
        <x:v>V5LA0093</x:v>
      </x:c>
      <x:c r="F81" s="9" t="str">
        <x:v>00PC160</x:v>
      </x:c>
      <x:c r="G81" s="10" t="n">
        <x:v>43645</x:v>
      </x:c>
      <x:c r="H81" s="11" t="str">
        <x:v>High</x:v>
      </x:c>
      <x:c r="I81" s="11" t="str">
        <x:v>Ready</x:v>
      </x:c>
      <x:c r="J81" s="15" t="str"/>
      <x:c r="K81" s="15" t="str">
        <x:v>C:\Users\AlejandroAcosta\Documents\ai-workstation\work\monitor_inventory_2026-07-27\monitors\IMG_6343.JPG</x:v>
      </x:c>
    </x:row>
    <x:row r="82">
      <x:c r="A82" s="9" t="str">
        <x:v>IMG_6345.JPG</x:v>
      </x:c>
      <x:c r="B82" s="9" t="str">
        <x:v>Lenovo</x:v>
      </x:c>
      <x:c r="C82" s="9" t="str">
        <x:v>T2254pC</x:v>
      </x:c>
      <x:c r="D82" s="9" t="str">
        <x:v>60E1-MAR2-WW</x:v>
      </x:c>
      <x:c r="E82" s="9" t="str">
        <x:v>VNA21PGN</x:v>
      </x:c>
      <x:c r="F82" s="9" t="str">
        <x:v>00PC018</x:v>
      </x:c>
      <x:c r="G82" s="10" t="n">
        <x:v>42996</x:v>
      </x:c>
      <x:c r="H82" s="11" t="str">
        <x:v>High</x:v>
      </x:c>
      <x:c r="I82" s="11" t="str">
        <x:v>Ready</x:v>
      </x:c>
      <x:c r="J82" s="15" t="str"/>
      <x:c r="K82" s="15" t="str">
        <x:v>C:\Users\AlejandroAcosta\Documents\ai-workstation\work\monitor_inventory_2026-07-27\monitors\IMG_6345.JPG</x:v>
      </x:c>
    </x:row>
    <x:row r="83">
      <x:c r="A83" s="9" t="str">
        <x:v>IMG_6347.JPG</x:v>
      </x:c>
      <x:c r="B83" s="9" t="str">
        <x:v>Lenovo</x:v>
      </x:c>
      <x:c r="C83" s="9" t="str">
        <x:v>D20215FT0</x:v>
      </x:c>
      <x:c r="D83" s="9" t="str">
        <x:v>61FE-MAR6-WW</x:v>
      </x:c>
      <x:c r="E83" s="9" t="str">
        <x:v>V9-06ZV2Y</x:v>
      </x:c>
      <x:c r="F83" s="9" t="str">
        <x:v>5D10Y48252</x:v>
      </x:c>
      <x:c r="G83" s="10" t="n">
        <x:v>44162</x:v>
      </x:c>
      <x:c r="H83" s="11" t="str">
        <x:v>High</x:v>
      </x:c>
      <x:c r="I83" s="11" t="str">
        <x:v>Ready</x:v>
      </x:c>
      <x:c r="J83" s="15" t="str"/>
      <x:c r="K83" s="15" t="str">
        <x:v>C:\Users\AlejandroAcosta\Documents\ai-workstation\work\monitor_inventory_2026-07-27\monitors\IMG_6347.JPG</x:v>
      </x:c>
    </x:row>
    <x:row r="84">
      <x:c r="A84" s="9" t="str">
        <x:v>IMG_6348.JPG</x:v>
      </x:c>
      <x:c r="B84" s="9" t="str">
        <x:v>Lenovo</x:v>
      </x:c>
      <x:c r="C84" s="9" t="str">
        <x:v>D20215FT0</x:v>
      </x:c>
      <x:c r="D84" s="9" t="str">
        <x:v>61FE-MAR6-WW</x:v>
      </x:c>
      <x:c r="E84" s="9" t="str">
        <x:v>V9-070Z51</x:v>
      </x:c>
      <x:c r="F84" s="9" t="str">
        <x:v>5D10Y48252</x:v>
      </x:c>
      <x:c r="G84" s="10" t="n">
        <x:v>44169</x:v>
      </x:c>
      <x:c r="H84" s="11" t="str">
        <x:v>High</x:v>
      </x:c>
      <x:c r="I84" s="11" t="str">
        <x:v>Ready</x:v>
      </x:c>
      <x:c r="J84" s="15" t="str"/>
      <x:c r="K84" s="15" t="str">
        <x:v>C:\Users\AlejandroAcosta\Documents\ai-workstation\work\monitor_inventory_2026-07-27\monitors\IMG_6348.JPG</x:v>
      </x:c>
    </x:row>
    <x:row r="85">
      <x:c r="A85" s="9" t="str">
        <x:v>IMG_6349.JPG</x:v>
      </x:c>
      <x:c r="B85" s="9" t="str">
        <x:v>Lenovo</x:v>
      </x:c>
      <x:c r="C85" s="9" t="str">
        <x:v>T2254pC</x:v>
      </x:c>
      <x:c r="D85" s="9" t="str">
        <x:v>60E1-MAR2-WW</x:v>
      </x:c>
      <x:c r="E85" s="9" t="str">
        <x:v>VNA20ML5</x:v>
      </x:c>
      <x:c r="F85" s="9" t="str">
        <x:v>00PC018</x:v>
      </x:c>
      <x:c r="G85" s="10" t="n">
        <x:v>42961</x:v>
      </x:c>
      <x:c r="H85" s="11" t="str">
        <x:v>High</x:v>
      </x:c>
      <x:c r="I85" s="11" t="str">
        <x:v>Ready</x:v>
      </x:c>
      <x:c r="J85" s="15" t="str"/>
      <x:c r="K85" s="15" t="str">
        <x:v>C:\Users\AlejandroAcosta\Documents\ai-workstation\work\monitor_inventory_2026-07-27\monitors\IMG_6349.JPG</x:v>
      </x:c>
    </x:row>
    <x:row r="86">
      <x:c r="A86" s="9" t="str">
        <x:v>IMG_6350.JPG</x:v>
      </x:c>
      <x:c r="B86" s="9" t="str">
        <x:v>Lenovo</x:v>
      </x:c>
      <x:c r="C86" s="9" t="str">
        <x:v>T2254pC</x:v>
      </x:c>
      <x:c r="D86" s="9" t="str">
        <x:v>60E1-MAR2-WW</x:v>
      </x:c>
      <x:c r="E86" s="9" t="str">
        <x:v>VNA21PH7</x:v>
      </x:c>
      <x:c r="F86" s="9" t="str">
        <x:v>00PC018</x:v>
      </x:c>
      <x:c r="G86" s="10"/>
      <x:c r="H86" s="11" t="str">
        <x:v>High</x:v>
      </x:c>
      <x:c r="I86" s="11" t="str">
        <x:v>Needs Review</x:v>
      </x:c>
      <x:c r="J86" s="15" t="str">
        <x:v>Manufacture date not extracted</x:v>
      </x:c>
      <x:c r="K86" s="15" t="str">
        <x:v>C:\Users\AlejandroAcosta\Documents\ai-workstation\work\monitor_inventory_2026-07-27\monitors\IMG_6350.JPG</x:v>
      </x:c>
    </x:row>
    <x:row r="87">
      <x:c r="A87" s="9" t="str">
        <x:v>IMG_6353.JPG</x:v>
      </x:c>
      <x:c r="B87" s="9" t="str">
        <x:v>Lenovo</x:v>
      </x:c>
      <x:c r="C87" s="9" t="str">
        <x:v>T22i-10</x:v>
      </x:c>
      <x:c r="D87" s="9" t="str">
        <x:v>61A9-MAR1-WW</x:v>
      </x:c>
      <x:c r="E87" s="9" t="str">
        <x:v>V5Z21014</x:v>
      </x:c>
      <x:c r="F87" s="9" t="str">
        <x:v>00PC160</x:v>
      </x:c>
      <x:c r="G87" s="10" t="n">
        <x:v>43311</x:v>
      </x:c>
      <x:c r="H87" s="11" t="str">
        <x:v>High</x:v>
      </x:c>
      <x:c r="I87" s="11" t="str">
        <x:v>Ready</x:v>
      </x:c>
      <x:c r="J87" s="15" t="str"/>
      <x:c r="K87" s="15" t="str">
        <x:v>C:\Users\AlejandroAcosta\Documents\ai-workstation\work\monitor_inventory_2026-07-27\monitors\IMG_6353.JPG</x:v>
      </x:c>
    </x:row>
    <x:row r="88">
      <x:c r="A88" s="9" t="str">
        <x:v>IMG_6354.JPG</x:v>
      </x:c>
      <x:c r="B88" s="9" t="str">
        <x:v>Lenovo</x:v>
      </x:c>
      <x:c r="C88" s="9" t="str">
        <x:v>T22i-10</x:v>
      </x:c>
      <x:c r="D88" s="9" t="str">
        <x:v>61A9-MAR1-WW</x:v>
      </x:c>
      <x:c r="E88" s="9" t="str">
        <x:v>V5Z20759</x:v>
      </x:c>
      <x:c r="F88" s="9" t="str">
        <x:v>00PC160</x:v>
      </x:c>
      <x:c r="G88" s="10"/>
      <x:c r="H88" s="11" t="str">
        <x:v>High</x:v>
      </x:c>
      <x:c r="I88" s="11" t="str">
        <x:v>Needs Review</x:v>
      </x:c>
      <x:c r="J88" s="15" t="str">
        <x:v>Manufacture date not extracted</x:v>
      </x:c>
      <x:c r="K88" s="15" t="str">
        <x:v>C:\Users\AlejandroAcosta\Documents\ai-workstation\work\monitor_inventory_2026-07-27\monitors\IMG_6354.JPG</x:v>
      </x:c>
    </x:row>
    <x:row r="89">
      <x:c r="A89" s="9" t="str">
        <x:v>IMG_6357.jpg</x:v>
      </x:c>
      <x:c r="B89" s="9" t="str">
        <x:v>Lenovo</x:v>
      </x:c>
      <x:c r="C89" s="9" t="str">
        <x:v>T2254pC</x:v>
      </x:c>
      <x:c r="D89" s="9" t="str">
        <x:v>60E1-MAR2-WW</x:v>
      </x:c>
      <x:c r="E89" s="9" t="str">
        <x:v>VNA20HAN</x:v>
      </x:c>
      <x:c r="F89" s="9" t="str">
        <x:v>00PC018</x:v>
      </x:c>
      <x:c r="G89" s="10" t="n">
        <x:v>42956</x:v>
      </x:c>
      <x:c r="H89" s="11" t="str">
        <x:v>High</x:v>
      </x:c>
      <x:c r="I89" s="11" t="str">
        <x:v>Ready</x:v>
      </x:c>
      <x:c r="J89" s="15" t="str"/>
      <x:c r="K89" s="15" t="str">
        <x:v>C:\Users\AlejandroAcosta\Documents\ai-workstation\work\monitor_inventory_2026-07-27\monitors\IMG_6357.jpg</x:v>
      </x:c>
    </x:row>
    <x:row r="90">
      <x:c r="A90" s="9" t="str">
        <x:v>IMG_6358.JPG</x:v>
      </x:c>
      <x:c r="B90" s="9" t="str">
        <x:v>Lenovo</x:v>
      </x:c>
      <x:c r="C90" s="9" t="str">
        <x:v>T2254pC</x:v>
      </x:c>
      <x:c r="D90" s="9" t="str">
        <x:v>60E1-MAR2-WW</x:v>
      </x:c>
      <x:c r="E90" s="9" t="str">
        <x:v>VNA21PHL</x:v>
      </x:c>
      <x:c r="F90" s="9" t="str">
        <x:v>00PC018</x:v>
      </x:c>
      <x:c r="G90" s="10" t="n">
        <x:v>42996</x:v>
      </x:c>
      <x:c r="H90" s="11" t="str">
        <x:v>High</x:v>
      </x:c>
      <x:c r="I90" s="11" t="str">
        <x:v>Ready</x:v>
      </x:c>
      <x:c r="J90" s="15" t="str"/>
      <x:c r="K90" s="15" t="str">
        <x:v>C:\Users\AlejandroAcosta\Documents\ai-workstation\work\monitor_inventory_2026-07-27\monitors\IMG_6358.JPG</x:v>
      </x:c>
    </x:row>
    <x:row r="91">
      <x:c r="A91" s="9" t="str">
        <x:v>IMG_6359.JPG</x:v>
      </x:c>
      <x:c r="B91" s="9" t="str">
        <x:v>Lenovo</x:v>
      </x:c>
      <x:c r="C91" s="9" t="str">
        <x:v>T2254pC</x:v>
      </x:c>
      <x:c r="D91" s="9" t="str">
        <x:v>60E1-MAR2-WW</x:v>
      </x:c>
      <x:c r="E91" s="9" t="str">
        <x:v>VNA21P7Z</x:v>
      </x:c>
      <x:c r="F91" s="9" t="str">
        <x:v>00PC018</x:v>
      </x:c>
      <x:c r="G91" s="10" t="n">
        <x:v>42996</x:v>
      </x:c>
      <x:c r="H91" s="11" t="str">
        <x:v>High</x:v>
      </x:c>
      <x:c r="I91" s="11" t="str">
        <x:v>Ready</x:v>
      </x:c>
      <x:c r="J91" s="15" t="str"/>
      <x:c r="K91" s="15" t="str">
        <x:v>C:\Users\AlejandroAcosta\Documents\ai-workstation\work\monitor_inventory_2026-07-27\monitors\IMG_6359.JPG</x:v>
      </x:c>
    </x:row>
    <x:row r="92">
      <x:c r="A92" s="9" t="str">
        <x:v>IMG_6361.JPG</x:v>
      </x:c>
      <x:c r="B92" s="9" t="str">
        <x:v>Lenovo</x:v>
      </x:c>
      <x:c r="C92" s="9" t="str">
        <x:v>T2254pC</x:v>
      </x:c>
      <x:c r="D92" s="9" t="str">
        <x:v>60E1-MAR2-WW</x:v>
      </x:c>
      <x:c r="E92" s="9" t="str">
        <x:v>VNA21P7G</x:v>
      </x:c>
      <x:c r="F92" s="9" t="str">
        <x:v>00PC018</x:v>
      </x:c>
      <x:c r="G92" s="10" t="n">
        <x:v>42996</x:v>
      </x:c>
      <x:c r="H92" s="11" t="str">
        <x:v>High</x:v>
      </x:c>
      <x:c r="I92" s="11" t="str">
        <x:v>Ready</x:v>
      </x:c>
      <x:c r="J92" s="15" t="str"/>
      <x:c r="K92" s="15" t="str">
        <x:v>C:\Users\AlejandroAcosta\Documents\ai-workstation\work\monitor_inventory_2026-07-27\monitors\IMG_6361.JPG</x:v>
      </x:c>
    </x:row>
    <x:row r="93">
      <x:c r="A93" s="9" t="str">
        <x:v>IMG_6362.JPG</x:v>
      </x:c>
      <x:c r="B93" s="9" t="str">
        <x:v>Lenovo</x:v>
      </x:c>
      <x:c r="C93" s="9" t="str">
        <x:v>T2254pC</x:v>
      </x:c>
      <x:c r="D93" s="9" t="str">
        <x:v>60E1-MAR2-WW</x:v>
      </x:c>
      <x:c r="E93" s="9" t="str">
        <x:v>VNA21P7M</x:v>
      </x:c>
      <x:c r="F93" s="9" t="str">
        <x:v>00PC018</x:v>
      </x:c>
      <x:c r="G93" s="10" t="n">
        <x:v>42996</x:v>
      </x:c>
      <x:c r="H93" s="11" t="str">
        <x:v>High</x:v>
      </x:c>
      <x:c r="I93" s="11" t="str">
        <x:v>Ready</x:v>
      </x:c>
      <x:c r="J93" s="15" t="str"/>
      <x:c r="K93" s="15" t="str">
        <x:v>C:\Users\AlejandroAcosta\Documents\ai-workstation\work\monitor_inventory_2026-07-27\monitors\IMG_6362.JPG</x:v>
      </x:c>
    </x:row>
    <x:row r="94">
      <x:c r="A94" s="9" t="str">
        <x:v>IMG_6363.JPG</x:v>
      </x:c>
      <x:c r="B94" s="9" t="str">
        <x:v>Lenovo</x:v>
      </x:c>
      <x:c r="C94" s="9" t="str">
        <x:v>T2254pC</x:v>
      </x:c>
      <x:c r="D94" s="9" t="str">
        <x:v>60E1-MAR2-WW</x:v>
      </x:c>
      <x:c r="E94" s="9" t="str">
        <x:v>VNA21PCP</x:v>
      </x:c>
      <x:c r="F94" s="9" t="str">
        <x:v>00PC018</x:v>
      </x:c>
      <x:c r="G94" s="10" t="n">
        <x:v>42996</x:v>
      </x:c>
      <x:c r="H94" s="11" t="str">
        <x:v>High</x:v>
      </x:c>
      <x:c r="I94" s="11" t="str">
        <x:v>Ready</x:v>
      </x:c>
      <x:c r="J94" s="15" t="str"/>
      <x:c r="K94" s="15" t="str">
        <x:v>C:\Users\AlejandroAcosta\Documents\ai-workstation\work\monitor_inventory_2026-07-27\monitors\IMG_6363.JPG</x:v>
      </x:c>
    </x:row>
    <x:row r="95">
      <x:c r="A95" s="9" t="str">
        <x:v>IMG_6365.JPG</x:v>
      </x:c>
      <x:c r="B95" s="9" t="str">
        <x:v>Lenovo</x:v>
      </x:c>
      <x:c r="C95" s="9" t="str">
        <x:v>D20215FT0</x:v>
      </x:c>
      <x:c r="D95" s="9" t="str">
        <x:v>61FE-MAR6-WW</x:v>
      </x:c>
      <x:c r="E95" s="9" t="str">
        <x:v>V9-06ZV2V</x:v>
      </x:c>
      <x:c r="F95" s="9" t="str">
        <x:v>5D10Y48252</x:v>
      </x:c>
      <x:c r="G95" s="10" t="n">
        <x:v>44162</x:v>
      </x:c>
      <x:c r="H95" s="11" t="str">
        <x:v>High</x:v>
      </x:c>
      <x:c r="I95" s="11" t="str">
        <x:v>Ready</x:v>
      </x:c>
      <x:c r="J95" s="15" t="str"/>
      <x:c r="K95" s="15" t="str">
        <x:v>C:\Users\AlejandroAcosta\Documents\ai-workstation\work\monitor_inventory_2026-07-27\monitors\IMG_6365.JPG</x:v>
      </x:c>
    </x:row>
    <x:row r="96">
      <x:c r="A96" s="9" t="str">
        <x:v>IMG_6366.JPG</x:v>
      </x:c>
      <x:c r="B96" s="9" t="str">
        <x:v>Lenovo</x:v>
      </x:c>
      <x:c r="C96" s="9" t="str">
        <x:v>T2254pC</x:v>
      </x:c>
      <x:c r="D96" s="9" t="str">
        <x:v>60E1-MAR2-WW</x:v>
      </x:c>
      <x:c r="E96" s="9" t="str">
        <x:v>VNA21P7A</x:v>
      </x:c>
      <x:c r="F96" s="9" t="str">
        <x:v>00PC018</x:v>
      </x:c>
      <x:c r="G96" s="10" t="n">
        <x:v>42996</x:v>
      </x:c>
      <x:c r="H96" s="11" t="str">
        <x:v>High</x:v>
      </x:c>
      <x:c r="I96" s="11" t="str">
        <x:v>Ready</x:v>
      </x:c>
      <x:c r="J96" s="15" t="str"/>
      <x:c r="K96" s="15" t="str">
        <x:v>C:\Users\AlejandroAcosta\Documents\ai-workstation\work\monitor_inventory_2026-07-27\monitors\IMG_6366.JPG</x:v>
      </x:c>
    </x:row>
    <x:row r="97">
      <x:c r="A97" s="9" t="str">
        <x:v>IMG_6367.JPG</x:v>
      </x:c>
      <x:c r="B97" s="9" t="str">
        <x:v>Lenovo</x:v>
      </x:c>
      <x:c r="C97" s="9" t="str">
        <x:v>T2254pC</x:v>
      </x:c>
      <x:c r="D97" s="9" t="str">
        <x:v>60E1-MAR2-WW</x:v>
      </x:c>
      <x:c r="E97" s="9" t="str">
        <x:v>VNA21PGY</x:v>
      </x:c>
      <x:c r="F97" s="9" t="str">
        <x:v>00PC018</x:v>
      </x:c>
      <x:c r="G97" s="10" t="n">
        <x:v>42996</x:v>
      </x:c>
      <x:c r="H97" s="11" t="str">
        <x:v>High</x:v>
      </x:c>
      <x:c r="I97" s="11" t="str">
        <x:v>Ready</x:v>
      </x:c>
      <x:c r="J97" s="15" t="str"/>
      <x:c r="K97" s="15" t="str">
        <x:v>C:\Users\AlejandroAcosta\Documents\ai-workstation\work\monitor_inventory_2026-07-27\monitors\IMG_6367.JPG</x:v>
      </x:c>
    </x:row>
    <x:row r="98">
      <x:c r="A98" s="9" t="str">
        <x:v>IMG_6368.JPG</x:v>
      </x:c>
      <x:c r="B98" s="9" t="str">
        <x:v>Lenovo</x:v>
      </x:c>
      <x:c r="C98" s="9" t="str">
        <x:v>T2254pC</x:v>
      </x:c>
      <x:c r="D98" s="9" t="str">
        <x:v>60E1-MAR2-WW</x:v>
      </x:c>
      <x:c r="E98" s="9" t="str">
        <x:v>VNA21PHA</x:v>
      </x:c>
      <x:c r="F98" s="9" t="str">
        <x:v>00PC018</x:v>
      </x:c>
      <x:c r="G98" s="10" t="n">
        <x:v>42996</x:v>
      </x:c>
      <x:c r="H98" s="11" t="str">
        <x:v>High</x:v>
      </x:c>
      <x:c r="I98" s="11" t="str">
        <x:v>Ready</x:v>
      </x:c>
      <x:c r="J98" s="15" t="str"/>
      <x:c r="K98" s="15" t="str">
        <x:v>C:\Users\AlejandroAcosta\Documents\ai-workstation\work\monitor_inventory_2026-07-27\monitors\IMG_6368.JPG</x:v>
      </x:c>
    </x:row>
    <x:row r="99">
      <x:c r="A99" s="9" t="str">
        <x:v>IMG_6369.JPG</x:v>
      </x:c>
      <x:c r="B99" s="9" t="str">
        <x:v>Lenovo</x:v>
      </x:c>
      <x:c r="C99" s="9" t="str">
        <x:v>T2254pC</x:v>
      </x:c>
      <x:c r="D99" s="9" t="str">
        <x:v>60E1-MAR2-WW</x:v>
      </x:c>
      <x:c r="E99" s="9" t="str">
        <x:v>VNA21P7F</x:v>
      </x:c>
      <x:c r="F99" s="9" t="str">
        <x:v>00PC018</x:v>
      </x:c>
      <x:c r="G99" s="10" t="n">
        <x:v>42996</x:v>
      </x:c>
      <x:c r="H99" s="11" t="str">
        <x:v>High</x:v>
      </x:c>
      <x:c r="I99" s="11" t="str">
        <x:v>Ready</x:v>
      </x:c>
      <x:c r="J99" s="15" t="str"/>
      <x:c r="K99" s="15" t="str">
        <x:v>C:\Users\AlejandroAcosta\Documents\ai-workstation\work\monitor_inventory_2026-07-27\monitors\IMG_6369.JPG</x:v>
      </x:c>
    </x:row>
    <x:row r="100">
      <x:c r="A100" s="9" t="str">
        <x:v>IMG_6370.JPG</x:v>
      </x:c>
      <x:c r="B100" s="9" t="str">
        <x:v>Lenovo</x:v>
      </x:c>
      <x:c r="C100" s="9" t="str">
        <x:v>T2254pC</x:v>
      </x:c>
      <x:c r="D100" s="9" t="str">
        <x:v>60E1-MAR2-WW</x:v>
      </x:c>
      <x:c r="E100" s="9" t="str">
        <x:v>VNA26Y62</x:v>
      </x:c>
      <x:c r="F100" s="9" t="str">
        <x:v>00PC018</x:v>
      </x:c>
      <x:c r="G100" s="10" t="n">
        <x:v>43164</x:v>
      </x:c>
      <x:c r="H100" s="11" t="str">
        <x:v>High</x:v>
      </x:c>
      <x:c r="I100" s="11" t="str">
        <x:v>Ready</x:v>
      </x:c>
      <x:c r="J100" s="15" t="str"/>
      <x:c r="K100" s="15" t="str">
        <x:v>C:\Users\AlejandroAcosta\Documents\ai-workstation\work\monitor_inventory_2026-07-27\monitors\IMG_6370.JPG</x:v>
      </x:c>
    </x:row>
    <x:row r="101">
      <x:c r="A101" s="9" t="str">
        <x:v>IMG_6371.JPG</x:v>
      </x:c>
      <x:c r="B101" s="9" t="str">
        <x:v>Lenovo</x:v>
      </x:c>
      <x:c r="C101" s="9" t="str">
        <x:v>T2254pC</x:v>
      </x:c>
      <x:c r="D101" s="9" t="str">
        <x:v>60E1-MAR2-WW</x:v>
      </x:c>
      <x:c r="E101" s="9" t="str">
        <x:v>VNA21PMH</x:v>
      </x:c>
      <x:c r="F101" s="9" t="str">
        <x:v>00PC018</x:v>
      </x:c>
      <x:c r="G101" s="10" t="n">
        <x:v>42996</x:v>
      </x:c>
      <x:c r="H101" s="11" t="str">
        <x:v>High</x:v>
      </x:c>
      <x:c r="I101" s="11" t="str">
        <x:v>Ready</x:v>
      </x:c>
      <x:c r="J101" s="15" t="str"/>
      <x:c r="K101" s="15" t="str">
        <x:v>C:\Users\AlejandroAcosta\Documents\ai-workstation\work\monitor_inventory_2026-07-27\monitors\IMG_6371.JPG</x:v>
      </x:c>
    </x:row>
    <x:row r="102">
      <x:c r="A102" s="9" t="str">
        <x:v>IMG_6372.JPG</x:v>
      </x:c>
      <x:c r="B102" s="9" t="str">
        <x:v>Lenovo</x:v>
      </x:c>
      <x:c r="C102" s="9" t="str">
        <x:v>T2254pC</x:v>
      </x:c>
      <x:c r="D102" s="9" t="str">
        <x:v>60E1-MAR2-WW</x:v>
      </x:c>
      <x:c r="E102" s="9" t="str">
        <x:v>VNA21P7H</x:v>
      </x:c>
      <x:c r="F102" s="9" t="str">
        <x:v>00PC018</x:v>
      </x:c>
      <x:c r="G102" s="10" t="n">
        <x:v>42996</x:v>
      </x:c>
      <x:c r="H102" s="11" t="str">
        <x:v>High</x:v>
      </x:c>
      <x:c r="I102" s="11" t="str">
        <x:v>Ready</x:v>
      </x:c>
      <x:c r="J102" s="15" t="str"/>
      <x:c r="K102" s="15" t="str">
        <x:v>C:\Users\AlejandroAcosta\Documents\ai-workstation\work\monitor_inventory_2026-07-27\monitors\IMG_6372.JPG</x:v>
      </x:c>
    </x:row>
    <x:row r="103">
      <x:c r="A103" s="9" t="str">
        <x:v>IMG_6373.JPG</x:v>
      </x:c>
      <x:c r="B103" s="9" t="str">
        <x:v>Lenovo</x:v>
      </x:c>
      <x:c r="C103" s="9" t="str">
        <x:v>T22i-10</x:v>
      </x:c>
      <x:c r="D103" s="9" t="str">
        <x:v>61A9-MAR1-WW</x:v>
      </x:c>
      <x:c r="E103" s="9" t="str">
        <x:v>V5WN8184</x:v>
      </x:c>
      <x:c r="F103" s="9" t="str">
        <x:v>00PC160</x:v>
      </x:c>
      <x:c r="G103" s="10" t="n">
        <x:v>43950</x:v>
      </x:c>
      <x:c r="H103" s="11" t="str">
        <x:v>High</x:v>
      </x:c>
      <x:c r="I103" s="11" t="str">
        <x:v>Ready</x:v>
      </x:c>
      <x:c r="J103" s="15" t="str"/>
      <x:c r="K103" s="15" t="str">
        <x:v>C:\Users\AlejandroAcosta\Documents\ai-workstation\work\monitor_inventory_2026-07-27\monitors\IMG_6373.JPG</x:v>
      </x:c>
    </x:row>
    <x:row r="104">
      <x:c r="A104" s="9" t="str">
        <x:v>IMG_6374.JPG</x:v>
      </x:c>
      <x:c r="B104" s="9" t="str">
        <x:v>Lenovo</x:v>
      </x:c>
      <x:c r="C104" s="9" t="str">
        <x:v>D20215FT0</x:v>
      </x:c>
      <x:c r="D104" s="9" t="str">
        <x:v>61FE-MAR6-WW</x:v>
      </x:c>
      <x:c r="E104" s="9" t="str">
        <x:v>V9-06ZV35</x:v>
      </x:c>
      <x:c r="F104" s="9" t="str">
        <x:v>5D10Y48252</x:v>
      </x:c>
      <x:c r="G104" s="10" t="n">
        <x:v>44162</x:v>
      </x:c>
      <x:c r="H104" s="11" t="str">
        <x:v>High</x:v>
      </x:c>
      <x:c r="I104" s="11" t="str">
        <x:v>Ready</x:v>
      </x:c>
      <x:c r="J104" s="15" t="str"/>
      <x:c r="K104" s="15" t="str">
        <x:v>C:\Users\AlejandroAcosta\Documents\ai-workstation\work\monitor_inventory_2026-07-27\monitors\IMG_6374.JPG</x:v>
      </x:c>
    </x:row>
    <x:row r="105">
      <x:c r="A105" s="9" t="str">
        <x:v>IMG_6375.JPG</x:v>
      </x:c>
      <x:c r="B105" s="9" t="str">
        <x:v>Lenovo</x:v>
      </x:c>
      <x:c r="C105" s="9" t="str"/>
      <x:c r="D105" s="9" t="str"/>
      <x:c r="E105" s="9" t="str">
        <x:v>VNA20MYX</x:v>
      </x:c>
      <x:c r="F105" s="9" t="str"/>
      <x:c r="G105" s="10"/>
      <x:c r="H105" s="11" t="str">
        <x:v>Medium</x:v>
      </x:c>
      <x:c r="I105" s="11" t="str">
        <x:v>Needs Review</x:v>
      </x:c>
      <x:c r="J105" s="15" t="str">
        <x:v>Model not confidently extracted; Manufacture date not extracted</x:v>
      </x:c>
      <x:c r="K105" s="15" t="str">
        <x:v>C:\Users\AlejandroAcosta\Documents\ai-workstation\work\monitor_inventory_2026-07-27\monitors\IMG_6375.JPG</x:v>
      </x:c>
    </x:row>
    <x:row r="106">
      <x:c r="A106" s="9" t="str">
        <x:v>IMG_6376.JPG</x:v>
      </x:c>
      <x:c r="B106" s="9" t="str">
        <x:v>Lenovo</x:v>
      </x:c>
      <x:c r="C106" s="9" t="str"/>
      <x:c r="D106" s="9" t="str"/>
      <x:c r="E106" s="9" t="str">
        <x:v>VNA21PQ1</x:v>
      </x:c>
      <x:c r="F106" s="9" t="str"/>
      <x:c r="G106" s="10"/>
      <x:c r="H106" s="11" t="str">
        <x:v>Medium</x:v>
      </x:c>
      <x:c r="I106" s="11" t="str">
        <x:v>Needs Review</x:v>
      </x:c>
      <x:c r="J106" s="15" t="str">
        <x:v>Model not confidently extracted; Manufacture date not extracted</x:v>
      </x:c>
      <x:c r="K106" s="15" t="str">
        <x:v>C:\Users\AlejandroAcosta\Documents\ai-workstation\work\monitor_inventory_2026-07-27\monitors\IMG_6376.JPG</x:v>
      </x:c>
    </x:row>
    <x:row r="107">
      <x:c r="A107" s="9" t="str">
        <x:v>IMG_6377.JPG</x:v>
      </x:c>
      <x:c r="B107" s="9" t="str">
        <x:v>Lenovo</x:v>
      </x:c>
      <x:c r="C107" s="9" t="str">
        <x:v>T2254pC</x:v>
      </x:c>
      <x:c r="D107" s="9" t="str">
        <x:v>60E1-MAR2-WW</x:v>
      </x:c>
      <x:c r="E107" s="9" t="str">
        <x:v>VNA21PDZ</x:v>
      </x:c>
      <x:c r="F107" s="9" t="str">
        <x:v>00PC018</x:v>
      </x:c>
      <x:c r="G107" s="10" t="n">
        <x:v>42996</x:v>
      </x:c>
      <x:c r="H107" s="11" t="str">
        <x:v>High</x:v>
      </x:c>
      <x:c r="I107" s="11" t="str">
        <x:v>Ready</x:v>
      </x:c>
      <x:c r="J107" s="15" t="str"/>
      <x:c r="K107" s="15" t="str">
        <x:v>C:\Users\AlejandroAcosta\Documents\ai-workstation\work\monitor_inventory_2026-07-27\monitors\IMG_6377.JPG</x:v>
      </x:c>
    </x:row>
    <x:row r="108">
      <x:c r="A108" s="9" t="str">
        <x:v>IMG_6378.JPG</x:v>
      </x:c>
      <x:c r="B108" s="9" t="str">
        <x:v>Lenovo</x:v>
      </x:c>
      <x:c r="C108" s="9" t="str">
        <x:v>T2254pC</x:v>
      </x:c>
      <x:c r="D108" s="9" t="str">
        <x:v>60E1-MAR2-WW</x:v>
      </x:c>
      <x:c r="E108" s="9" t="str">
        <x:v>VNA20MK2</x:v>
      </x:c>
      <x:c r="F108" s="9" t="str">
        <x:v>00PC018</x:v>
      </x:c>
      <x:c r="G108" s="10" t="n">
        <x:v>42961</x:v>
      </x:c>
      <x:c r="H108" s="11" t="str">
        <x:v>High</x:v>
      </x:c>
      <x:c r="I108" s="11" t="str">
        <x:v>Ready</x:v>
      </x:c>
      <x:c r="J108" s="15" t="str"/>
      <x:c r="K108" s="15" t="str">
        <x:v>C:\Users\AlejandroAcosta\Documents\ai-workstation\work\monitor_inventory_2026-07-27\monitors\IMG_6378.JPG</x:v>
      </x:c>
    </x:row>
    <x:row r="109">
      <x:c r="A109" s="9" t="str">
        <x:v>IMG_6379.JPG</x:v>
      </x:c>
      <x:c r="B109" s="9" t="str">
        <x:v>Lenovo</x:v>
      </x:c>
      <x:c r="C109" s="9" t="str">
        <x:v>T2254pC</x:v>
      </x:c>
      <x:c r="D109" s="9" t="str">
        <x:v>60E1-MAR2-WW</x:v>
      </x:c>
      <x:c r="E109" s="9" t="str">
        <x:v>VNA21PN9</x:v>
      </x:c>
      <x:c r="F109" s="9" t="str">
        <x:v>00PC018</x:v>
      </x:c>
      <x:c r="G109" s="10" t="n">
        <x:v>42996</x:v>
      </x:c>
      <x:c r="H109" s="11" t="str">
        <x:v>High</x:v>
      </x:c>
      <x:c r="I109" s="11" t="str">
        <x:v>Ready</x:v>
      </x:c>
      <x:c r="J109" s="15" t="str"/>
      <x:c r="K109" s="15" t="str">
        <x:v>C:\Users\AlejandroAcosta\Documents\ai-workstation\work\monitor_inventory_2026-07-27\monitors\IMG_6379.JPG</x:v>
      </x:c>
    </x:row>
    <x:row r="110">
      <x:c r="A110" s="9" t="str">
        <x:v>IMG_6380.JPG</x:v>
      </x:c>
      <x:c r="B110" s="9" t="str">
        <x:v>Lenovo</x:v>
      </x:c>
      <x:c r="C110" s="9" t="str">
        <x:v>T22i-10</x:v>
      </x:c>
      <x:c r="D110" s="9" t="str">
        <x:v>61A9-MAR1-WW</x:v>
      </x:c>
      <x:c r="E110" s="9" t="str">
        <x:v>V5KB8973</x:v>
      </x:c>
      <x:c r="F110" s="9" t="str">
        <x:v>00PC160</x:v>
      </x:c>
      <x:c r="G110" s="10" t="n">
        <x:v>43629</x:v>
      </x:c>
      <x:c r="H110" s="11" t="str">
        <x:v>High</x:v>
      </x:c>
      <x:c r="I110" s="11" t="str">
        <x:v>Ready</x:v>
      </x:c>
      <x:c r="J110" s="15" t="str"/>
      <x:c r="K110" s="15" t="str">
        <x:v>C:\Users\AlejandroAcosta\Documents\ai-workstation\work\monitor_inventory_2026-07-27\monitors\IMG_6380.JPG</x:v>
      </x:c>
    </x:row>
    <x:row r="111">
      <x:c r="A111" s="9" t="str">
        <x:v>IMG_6381.JPG</x:v>
      </x:c>
      <x:c r="B111" s="9" t="str">
        <x:v>Lenovo</x:v>
      </x:c>
      <x:c r="C111" s="9" t="str">
        <x:v>T2254pC</x:v>
      </x:c>
      <x:c r="D111" s="9" t="str">
        <x:v>60E1-MAR2-WW</x:v>
      </x:c>
      <x:c r="E111" s="9" t="str">
        <x:v>VNA21PMK</x:v>
      </x:c>
      <x:c r="F111" s="9" t="str">
        <x:v>00PC018</x:v>
      </x:c>
      <x:c r="G111" s="10" t="n">
        <x:v>42996</x:v>
      </x:c>
      <x:c r="H111" s="11" t="str">
        <x:v>High</x:v>
      </x:c>
      <x:c r="I111" s="11" t="str">
        <x:v>Ready</x:v>
      </x:c>
      <x:c r="J111" s="15" t="str"/>
      <x:c r="K111" s="15" t="str">
        <x:v>C:\Users\AlejandroAcosta\Documents\ai-workstation\work\monitor_inventory_2026-07-27\monitors\IMG_6381.JPG</x:v>
      </x:c>
    </x:row>
    <x:row r="112">
      <x:c r="A112" s="9" t="str">
        <x:v>IMG_6382.JPG</x:v>
      </x:c>
      <x:c r="B112" s="9" t="str">
        <x:v>Lenovo</x:v>
      </x:c>
      <x:c r="C112" s="9" t="str">
        <x:v>T2254pC</x:v>
      </x:c>
      <x:c r="D112" s="9" t="str">
        <x:v>60E1-MAR2-WW</x:v>
      </x:c>
      <x:c r="E112" s="9" t="str">
        <x:v>VNA21P7W</x:v>
      </x:c>
      <x:c r="F112" s="9" t="str">
        <x:v>00PC018</x:v>
      </x:c>
      <x:c r="G112" s="10" t="n">
        <x:v>42996</x:v>
      </x:c>
      <x:c r="H112" s="11" t="str">
        <x:v>High</x:v>
      </x:c>
      <x:c r="I112" s="11" t="str">
        <x:v>Ready</x:v>
      </x:c>
      <x:c r="J112" s="15" t="str"/>
      <x:c r="K112" s="15" t="str">
        <x:v>C:\Users\AlejandroAcosta\Documents\ai-workstation\work\monitor_inventory_2026-07-27\monitors\IMG_6382.JPG</x:v>
      </x:c>
    </x:row>
    <x:row r="113">
      <x:c r="A113" s="9" t="str">
        <x:v>IMG_6383.JPG</x:v>
      </x:c>
      <x:c r="B113" s="9" t="str">
        <x:v>Lenovo</x:v>
      </x:c>
      <x:c r="C113" s="9" t="str"/>
      <x:c r="D113" s="9" t="str"/>
      <x:c r="E113" s="9" t="str"/>
      <x:c r="F113" s="9" t="str"/>
      <x:c r="G113" s="10"/>
      <x:c r="H113" s="11" t="str">
        <x:v>Low</x:v>
      </x:c>
      <x:c r="I113" s="11" t="str">
        <x:v>Needs Review</x:v>
      </x:c>
      <x:c r="J113" s="15" t="str">
        <x:v>Serial not confidently extracted; Model not confidently extracted; Manufacture date not extracted</x:v>
      </x:c>
      <x:c r="K113" s="15" t="str">
        <x:v>C:\Users\AlejandroAcosta\Documents\ai-workstation\work\monitor_inventory_2026-07-27\monitors\IMG_6383.JPG</x:v>
      </x:c>
    </x:row>
    <x:row r="114">
      <x:c r="A114" s="9" t="str">
        <x:v>IMG_6384.JPG</x:v>
      </x:c>
      <x:c r="B114" s="9" t="str">
        <x:v>Lenovo</x:v>
      </x:c>
      <x:c r="C114" s="9" t="str">
        <x:v>T2254pC</x:v>
      </x:c>
      <x:c r="D114" s="9" t="str">
        <x:v>60E1-MAR2-WW</x:v>
      </x:c>
      <x:c r="E114" s="9" t="str">
        <x:v>VNA263ZZ</x:v>
      </x:c>
      <x:c r="F114" s="9" t="str">
        <x:v>00PC018</x:v>
      </x:c>
      <x:c r="G114" s="10" t="n">
        <x:v>43139</x:v>
      </x:c>
      <x:c r="H114" s="11" t="str">
        <x:v>High</x:v>
      </x:c>
      <x:c r="I114" s="11" t="str">
        <x:v>Ready</x:v>
      </x:c>
      <x:c r="J114" s="15" t="str"/>
      <x:c r="K114" s="15" t="str">
        <x:v>C:\Users\AlejandroAcosta\Documents\ai-workstation\work\monitor_inventory_2026-07-27\monitors\IMG_6384.JPG</x:v>
      </x:c>
    </x:row>
    <x:row r="115">
      <x:c r="A115" s="9" t="str">
        <x:v>IMG_6386.JPG</x:v>
      </x:c>
      <x:c r="B115" s="9" t="str">
        <x:v>Lenovo</x:v>
      </x:c>
      <x:c r="C115" s="9" t="str">
        <x:v>T22S4pC</x:v>
      </x:c>
      <x:c r="D115" s="9" t="str"/>
      <x:c r="E115" s="9" t="str">
        <x:v>VNA21P79</x:v>
      </x:c>
      <x:c r="F115" s="9" t="str"/>
      <x:c r="G115" s="10" t="n">
        <x:v>42996</x:v>
      </x:c>
      <x:c r="H115" s="11" t="str">
        <x:v>Medium</x:v>
      </x:c>
      <x:c r="I115" s="11" t="str">
        <x:v>Ready</x:v>
      </x:c>
      <x:c r="J115" s="15" t="str"/>
      <x:c r="K115" s="15" t="str">
        <x:v>C:\Users\AlejandroAcosta\Documents\ai-workstation\work\monitor_inventory_2026-07-27\monitors\IMG_6386.JPG</x:v>
      </x:c>
    </x:row>
    <x:row r="116">
      <x:c r="A116" s="9" t="str">
        <x:v>IMG_6387.JPG</x:v>
      </x:c>
      <x:c r="B116" s="9" t="str">
        <x:v>Lenovo</x:v>
      </x:c>
      <x:c r="C116" s="9" t="str"/>
      <x:c r="D116" s="9" t="str"/>
      <x:c r="E116" s="9" t="str">
        <x:v>V5LA0027</x:v>
      </x:c>
      <x:c r="F116" s="9" t="str">
        <x:v>ooecieo</x:v>
      </x:c>
      <x:c r="G116" s="10"/>
      <x:c r="H116" s="11" t="str">
        <x:v>Medium</x:v>
      </x:c>
      <x:c r="I116" s="11" t="str">
        <x:v>Needs Review</x:v>
      </x:c>
      <x:c r="J116" s="15" t="str">
        <x:v>Model not confidently extracted; Manufacture date not extracted</x:v>
      </x:c>
      <x:c r="K116" s="15" t="str">
        <x:v>C:\Users\AlejandroAcosta\Documents\ai-workstation\work\monitor_inventory_2026-07-27\monitors\IMG_6387.JPG</x:v>
      </x:c>
    </x:row>
    <x:row r="117">
      <x:c r="A117" s="9" t="str">
        <x:v>IMG_6388.JPG</x:v>
      </x:c>
      <x:c r="B117" s="9" t="str">
        <x:v>Lenovo</x:v>
      </x:c>
      <x:c r="C117" s="9" t="str">
        <x:v>T22i-10</x:v>
      </x:c>
      <x:c r="D117" s="9" t="str">
        <x:v>61A9-MAR1-WW</x:v>
      </x:c>
      <x:c r="E117" s="9" t="str">
        <x:v>V5Z21017</x:v>
      </x:c>
      <x:c r="F117" s="9" t="str">
        <x:v>00PC160</x:v>
      </x:c>
      <x:c r="G117" s="10" t="n">
        <x:v>43311</x:v>
      </x:c>
      <x:c r="H117" s="11" t="str">
        <x:v>High</x:v>
      </x:c>
      <x:c r="I117" s="11" t="str">
        <x:v>Ready</x:v>
      </x:c>
      <x:c r="J117" s="15" t="str"/>
      <x:c r="K117" s="15" t="str">
        <x:v>C:\Users\AlejandroAcosta\Documents\ai-workstation\work\monitor_inventory_2026-07-27\monitors\IMG_6388.JPG</x:v>
      </x:c>
    </x:row>
    <x:row r="118">
      <x:c r="A118" s="9" t="str">
        <x:v>IMG_6389.JPG</x:v>
      </x:c>
      <x:c r="B118" s="9" t="str">
        <x:v>Lenovo</x:v>
      </x:c>
      <x:c r="C118" s="9" t="str">
        <x:v>T2254pC</x:v>
      </x:c>
      <x:c r="D118" s="9" t="str">
        <x:v>60E1-MAR2-WW</x:v>
      </x:c>
      <x:c r="E118" s="9" t="str">
        <x:v>VNA21PQV</x:v>
      </x:c>
      <x:c r="F118" s="9" t="str">
        <x:v>00PC018</x:v>
      </x:c>
      <x:c r="G118" s="10"/>
      <x:c r="H118" s="11" t="str">
        <x:v>High</x:v>
      </x:c>
      <x:c r="I118" s="11" t="str">
        <x:v>Needs Review</x:v>
      </x:c>
      <x:c r="J118" s="15" t="str">
        <x:v>Manufacture date not extracted</x:v>
      </x:c>
      <x:c r="K118" s="15" t="str">
        <x:v>C:\Users\AlejandroAcosta\Documents\ai-workstation\work\monitor_inventory_2026-07-27\monitors\IMG_6389.JPG</x:v>
      </x:c>
    </x:row>
    <x:row r="119">
      <x:c r="A119" s="9" t="str">
        <x:v>IMG_6390.JPG</x:v>
      </x:c>
      <x:c r="B119" s="9" t="str">
        <x:v>Lenovo</x:v>
      </x:c>
      <x:c r="C119" s="9" t="str">
        <x:v>T2254pC</x:v>
      </x:c>
      <x:c r="D119" s="9" t="str">
        <x:v>60E1-MAR2-WW</x:v>
      </x:c>
      <x:c r="E119" s="9" t="str">
        <x:v>VNA21PH8</x:v>
      </x:c>
      <x:c r="F119" s="9" t="str">
        <x:v>00PC018</x:v>
      </x:c>
      <x:c r="G119" s="10" t="n">
        <x:v>42996</x:v>
      </x:c>
      <x:c r="H119" s="11" t="str">
        <x:v>High</x:v>
      </x:c>
      <x:c r="I119" s="11" t="str">
        <x:v>Ready</x:v>
      </x:c>
      <x:c r="J119" s="15" t="str"/>
      <x:c r="K119" s="15" t="str">
        <x:v>C:\Users\AlejandroAcosta\Documents\ai-workstation\work\monitor_inventory_2026-07-27\monitors\IMG_6390.JPG</x:v>
      </x:c>
    </x:row>
    <x:row r="120">
      <x:c r="A120" s="9" t="str">
        <x:v>IMG_6393.JPG</x:v>
      </x:c>
      <x:c r="B120" s="9" t="str">
        <x:v>Lenovo</x:v>
      </x:c>
      <x:c r="C120" s="9" t="str"/>
      <x:c r="D120" s="9" t="str"/>
      <x:c r="E120" s="9" t="str"/>
      <x:c r="F120" s="9" t="str"/>
      <x:c r="G120" s="10"/>
      <x:c r="H120" s="11" t="str">
        <x:v>Low</x:v>
      </x:c>
      <x:c r="I120" s="11" t="str">
        <x:v>Needs Review</x:v>
      </x:c>
      <x:c r="J120" s="15" t="str">
        <x:v>Serial not confidently extracted; Model not confidently extracted; Manufacture date not extracted</x:v>
      </x:c>
      <x:c r="K120" s="15" t="str">
        <x:v>C:\Users\AlejandroAcosta\Documents\ai-workstation\work\monitor_inventory_2026-07-27\monitors\IMG_6393.JPG</x:v>
      </x:c>
    </x:row>
    <x:row r="121">
      <x:c r="A121" s="9" t="str">
        <x:v>IMG_6394.JPG</x:v>
      </x:c>
      <x:c r="B121" s="9" t="str">
        <x:v>Lenovo</x:v>
      </x:c>
      <x:c r="C121" s="9" t="str">
        <x:v>T2254pC</x:v>
      </x:c>
      <x:c r="D121" s="9" t="str">
        <x:v>60E1-MAR2-WW</x:v>
      </x:c>
      <x:c r="E121" s="9" t="str">
        <x:v>VNA26G93</x:v>
      </x:c>
      <x:c r="F121" s="9" t="str">
        <x:v>00PC018</x:v>
      </x:c>
      <x:c r="G121" s="10" t="n">
        <x:v>43160</x:v>
      </x:c>
      <x:c r="H121" s="11" t="str">
        <x:v>High</x:v>
      </x:c>
      <x:c r="I121" s="11" t="str">
        <x:v>Ready</x:v>
      </x:c>
      <x:c r="J121" s="15" t="str"/>
      <x:c r="K121" s="15" t="str">
        <x:v>C:\Users\AlejandroAcosta\Documents\ai-workstation\work\monitor_inventory_2026-07-27\monitors\IMG_6394.JPG</x:v>
      </x:c>
    </x:row>
    <x:row r="122">
      <x:c r="A122" s="9" t="str">
        <x:v>IMG_6396.JPG</x:v>
      </x:c>
      <x:c r="B122" s="9" t="str">
        <x:v>Lenovo</x:v>
      </x:c>
      <x:c r="C122" s="9" t="str">
        <x:v>D22238QP0</x:v>
      </x:c>
      <x:c r="D122" s="9" t="str">
        <x:v>63B3-GAR6-WW</x:v>
      </x:c>
      <x:c r="E122" s="9" t="str">
        <x:v>V9-OEYAL9</x:v>
      </x:c>
      <x:c r="F122" s="9" t="str">
        <x:v>5D11J31074</x:v>
      </x:c>
      <x:c r="G122" s="10" t="n">
        <x:v>45750</x:v>
      </x:c>
      <x:c r="H122" s="11" t="str">
        <x:v>High</x:v>
      </x:c>
      <x:c r="I122" s="11" t="str">
        <x:v>Ready</x:v>
      </x:c>
      <x:c r="J122" s="15" t="str"/>
      <x:c r="K122" s="15" t="str">
        <x:v>C:\Users\AlejandroAcosta\Documents\ai-workstation\work\monitor_inventory_2026-07-27\monitors\IMG_6396.JPG</x:v>
      </x:c>
    </x:row>
    <x:row r="123">
      <x:c r="A123" s="9" t="str">
        <x:v>IMG_6397.JPG</x:v>
      </x:c>
      <x:c r="B123" s="9" t="str">
        <x:v>Lenovo</x:v>
      </x:c>
      <x:c r="C123" s="9" t="str"/>
      <x:c r="D123" s="9" t="str"/>
      <x:c r="E123" s="9" t="str">
        <x:v>VNA20MRL</x:v>
      </x:c>
      <x:c r="F123" s="9" t="str"/>
      <x:c r="G123" s="10"/>
      <x:c r="H123" s="11" t="str">
        <x:v>Medium</x:v>
      </x:c>
      <x:c r="I123" s="11" t="str">
        <x:v>Needs Review</x:v>
      </x:c>
      <x:c r="J123" s="15" t="str">
        <x:v>Model not confidently extracted; Manufacture date not extracted</x:v>
      </x:c>
      <x:c r="K123" s="15" t="str">
        <x:v>C:\Users\AlejandroAcosta\Documents\ai-workstation\work\monitor_inventory_2026-07-27\monitors\IMG_6397.JPG</x:v>
      </x:c>
    </x:row>
    <x:row r="124">
      <x:c r="A124" s="9" t="str">
        <x:v>IMG_6398.JPG</x:v>
      </x:c>
      <x:c r="B124" s="9" t="str">
        <x:v>Lenovo</x:v>
      </x:c>
      <x:c r="C124" s="9" t="str">
        <x:v>T2254pC</x:v>
      </x:c>
      <x:c r="D124" s="9" t="str">
        <x:v>60E1-MAR2-WW</x:v>
      </x:c>
      <x:c r="E124" s="9" t="str">
        <x:v>VNA21PH6</x:v>
      </x:c>
      <x:c r="F124" s="9" t="str">
        <x:v>00PC018</x:v>
      </x:c>
      <x:c r="G124" s="10" t="n">
        <x:v>42996</x:v>
      </x:c>
      <x:c r="H124" s="11" t="str">
        <x:v>High</x:v>
      </x:c>
      <x:c r="I124" s="11" t="str">
        <x:v>Ready</x:v>
      </x:c>
      <x:c r="J124" s="15" t="str"/>
      <x:c r="K124" s="15" t="str">
        <x:v>C:\Users\AlejandroAcosta\Documents\ai-workstation\work\monitor_inventory_2026-07-27\monitors\IMG_6398.JPG</x:v>
      </x:c>
    </x:row>
    <x:row r="125">
      <x:c r="A125" s="9" t="str">
        <x:v>IMG_6399.JPG</x:v>
      </x:c>
      <x:c r="B125" s="9" t="str">
        <x:v>Lenovo</x:v>
      </x:c>
      <x:c r="C125" s="9" t="str">
        <x:v>T2254pC</x:v>
      </x:c>
      <x:c r="D125" s="9" t="str">
        <x:v>60E1-MAR2-WW</x:v>
      </x:c>
      <x:c r="E125" s="9" t="str">
        <x:v>VNA21NN7</x:v>
      </x:c>
      <x:c r="F125" s="9" t="str">
        <x:v>00PC018</x:v>
      </x:c>
      <x:c r="G125" s="10" t="n">
        <x:v>42996</x:v>
      </x:c>
      <x:c r="H125" s="11" t="str">
        <x:v>High</x:v>
      </x:c>
      <x:c r="I125" s="11" t="str">
        <x:v>Ready</x:v>
      </x:c>
      <x:c r="J125" s="15" t="str"/>
      <x:c r="K125" s="15" t="str">
        <x:v>C:\Users\AlejandroAcosta\Documents\ai-workstation\work\monitor_inventory_2026-07-27\monitors\IMG_6399.JPG</x:v>
      </x:c>
    </x:row>
    <x:row r="126">
      <x:c r="A126" s="9" t="str">
        <x:v>IMG_6400.JPG</x:v>
      </x:c>
      <x:c r="B126" s="9" t="str">
        <x:v>Lenovo</x:v>
      </x:c>
      <x:c r="C126" s="9" t="str">
        <x:v>T2254pC</x:v>
      </x:c>
      <x:c r="D126" s="9" t="str">
        <x:v>60E1-MAR2-WW</x:v>
      </x:c>
      <x:c r="E126" s="9" t="str">
        <x:v>VNA21P7B</x:v>
      </x:c>
      <x:c r="F126" s="9" t="str">
        <x:v>00PC018</x:v>
      </x:c>
      <x:c r="G126" s="10" t="n">
        <x:v>42996</x:v>
      </x:c>
      <x:c r="H126" s="11" t="str">
        <x:v>High</x:v>
      </x:c>
      <x:c r="I126" s="11" t="str">
        <x:v>Ready</x:v>
      </x:c>
      <x:c r="J126" s="15" t="str"/>
      <x:c r="K126" s="15" t="str">
        <x:v>C:\Users\AlejandroAcosta\Documents\ai-workstation\work\monitor_inventory_2026-07-27\monitors\IMG_6400.JPG</x:v>
      </x:c>
    </x:row>
    <x:row r="127">
      <x:c r="A127" s="9" t="str">
        <x:v>IMG_6401.JPG</x:v>
      </x:c>
      <x:c r="B127" s="9" t="str">
        <x:v>Lenovo</x:v>
      </x:c>
      <x:c r="C127" s="9" t="str"/>
      <x:c r="D127" s="9" t="str"/>
      <x:c r="E127" s="9" t="str">
        <x:v>VNA21PN1</x:v>
      </x:c>
      <x:c r="F127" s="9" t="str"/>
      <x:c r="G127" s="10"/>
      <x:c r="H127" s="11" t="str">
        <x:v>Medium</x:v>
      </x:c>
      <x:c r="I127" s="11" t="str">
        <x:v>Needs Review</x:v>
      </x:c>
      <x:c r="J127" s="15" t="str">
        <x:v>Model not confidently extracted; Manufacture date not extracted</x:v>
      </x:c>
      <x:c r="K127" s="15" t="str">
        <x:v>C:\Users\AlejandroAcosta\Documents\ai-workstation\work\monitor_inventory_2026-07-27\monitors\IMG_6401.JPG</x:v>
      </x:c>
    </x:row>
    <x:row r="128">
      <x:c r="A128" s="9" t="str">
        <x:v>IMG_6402.JPG</x:v>
      </x:c>
      <x:c r="B128" s="9" t="str">
        <x:v>Lenovo</x:v>
      </x:c>
      <x:c r="C128" s="9" t="str">
        <x:v>T2254pC</x:v>
      </x:c>
      <x:c r="D128" s="9" t="str">
        <x:v>60E1-MAR2-WW</x:v>
      </x:c>
      <x:c r="E128" s="9" t="str">
        <x:v>VNA26FMM</x:v>
      </x:c>
      <x:c r="F128" s="9" t="str">
        <x:v>00PC018</x:v>
      </x:c>
      <x:c r="G128" s="10"/>
      <x:c r="H128" s="11" t="str">
        <x:v>High</x:v>
      </x:c>
      <x:c r="I128" s="11" t="str">
        <x:v>Needs Review</x:v>
      </x:c>
      <x:c r="J128" s="15" t="str">
        <x:v>Manufacture date not extracted</x:v>
      </x:c>
      <x:c r="K128" s="15" t="str">
        <x:v>C:\Users\AlejandroAcosta\Documents\ai-workstation\work\monitor_inventory_2026-07-27\monitors\IMG_6402.JPG</x:v>
      </x:c>
    </x:row>
    <x:row r="129">
      <x:c r="A129" s="9" t="str">
        <x:v>IMG_6403.JPG</x:v>
      </x:c>
      <x:c r="B129" s="9" t="str">
        <x:v>Lenovo</x:v>
      </x:c>
      <x:c r="C129" s="9" t="str"/>
      <x:c r="D129" s="9" t="str">
        <x:v>60Et.MAR2.WW</x:v>
      </x:c>
      <x:c r="E129" s="9" t="str">
        <x:v>VNA20MKP</x:v>
      </x:c>
      <x:c r="F129" s="9" t="str"/>
      <x:c r="G129" s="10"/>
      <x:c r="H129" s="11" t="str">
        <x:v>Medium</x:v>
      </x:c>
      <x:c r="I129" s="11" t="str">
        <x:v>Needs Review</x:v>
      </x:c>
      <x:c r="J129" s="15" t="str">
        <x:v>Model not confidently extracted; Manufacture date not extracted</x:v>
      </x:c>
      <x:c r="K129" s="15" t="str">
        <x:v>C:\Users\AlejandroAcosta\Documents\ai-workstation\work\monitor_inventory_2026-07-27\monitors\IMG_6403.JPG</x:v>
      </x:c>
    </x:row>
    <x:row r="130">
      <x:c r="A130" s="9" t="str">
        <x:v>IMG_6404.JPG</x:v>
      </x:c>
      <x:c r="B130" s="9" t="str">
        <x:v>Lenovo</x:v>
      </x:c>
      <x:c r="C130" s="9" t="str"/>
      <x:c r="D130" s="9" t="str"/>
      <x:c r="E130" s="9" t="str"/>
      <x:c r="F130" s="9" t="str"/>
      <x:c r="G130" s="10"/>
      <x:c r="H130" s="11" t="str">
        <x:v>Low</x:v>
      </x:c>
      <x:c r="I130" s="11" t="str">
        <x:v>Needs Review</x:v>
      </x:c>
      <x:c r="J130" s="15" t="str">
        <x:v>Serial not confidently extracted; Model not confidently extracted; Manufacture date not extracted</x:v>
      </x:c>
      <x:c r="K130" s="15" t="str">
        <x:v>C:\Users\AlejandroAcosta\Documents\ai-workstation\work\monitor_inventory_2026-07-27\monitors\IMG_6404.JPG</x:v>
      </x:c>
    </x:row>
    <x:row r="131">
      <x:c r="A131" s="9" t="str">
        <x:v>IMG_6405.JPG</x:v>
      </x:c>
      <x:c r="B131" s="9" t="str">
        <x:v>Lenovo</x:v>
      </x:c>
      <x:c r="C131" s="9" t="str">
        <x:v>T2254pC</x:v>
      </x:c>
      <x:c r="D131" s="9" t="str">
        <x:v>60E1-MAR2-WW</x:v>
      </x:c>
      <x:c r="E131" s="9" t="str">
        <x:v>VNA21PC7</x:v>
      </x:c>
      <x:c r="F131" s="9" t="str">
        <x:v>00PC018</x:v>
      </x:c>
      <x:c r="G131" s="10"/>
      <x:c r="H131" s="11" t="str">
        <x:v>High</x:v>
      </x:c>
      <x:c r="I131" s="11" t="str">
        <x:v>Needs Review</x:v>
      </x:c>
      <x:c r="J131" s="15" t="str">
        <x:v>Manufacture date not extracted</x:v>
      </x:c>
      <x:c r="K131" s="15" t="str">
        <x:v>C:\Users\AlejandroAcosta\Documents\ai-workstation\work\monitor_inventory_2026-07-27\monitors\IMG_6405.JPG</x:v>
      </x:c>
    </x:row>
    <x:row r="132">
      <x:c r="A132" s="9" t="str">
        <x:v>IMG_6407.JPG</x:v>
      </x:c>
      <x:c r="B132" s="9" t="str">
        <x:v>Lenovo</x:v>
      </x:c>
      <x:c r="C132" s="9" t="str">
        <x:v>T2254pC</x:v>
      </x:c>
      <x:c r="D132" s="9" t="str">
        <x:v>60E1-MAR2-WW</x:v>
      </x:c>
      <x:c r="E132" s="9" t="str">
        <x:v>VNA20MKG</x:v>
      </x:c>
      <x:c r="F132" s="9" t="str">
        <x:v>00PC018</x:v>
      </x:c>
      <x:c r="G132" s="10" t="n">
        <x:v>42961</x:v>
      </x:c>
      <x:c r="H132" s="11" t="str">
        <x:v>High</x:v>
      </x:c>
      <x:c r="I132" s="11" t="str">
        <x:v>Ready</x:v>
      </x:c>
      <x:c r="J132" s="15" t="str"/>
      <x:c r="K132" s="15" t="str">
        <x:v>C:\Users\AlejandroAcosta\Documents\ai-workstation\work\monitor_inventory_2026-07-27\monitors\IMG_6407.JPG</x:v>
      </x:c>
    </x:row>
    <x:row r="133">
      <x:c r="A133" s="9" t="str">
        <x:v>IMG_6408.JPG</x:v>
      </x:c>
      <x:c r="B133" s="9" t="str"/>
      <x:c r="C133" s="9" t="str"/>
      <x:c r="D133" s="9" t="str"/>
      <x:c r="E133" s="9" t="str"/>
      <x:c r="F133" s="9" t="str"/>
      <x:c r="G133" s="10"/>
      <x:c r="H133" s="11" t="str">
        <x:v>Low</x:v>
      </x:c>
      <x:c r="I133" s="11" t="str">
        <x:v>Needs Review</x:v>
      </x:c>
      <x:c r="J133" s="15" t="str">
        <x:v>Serial not confidently extracted; Model not confidently extracted; Manufacture date not extracted; No OCR text</x:v>
      </x:c>
      <x:c r="K133" s="15" t="str">
        <x:v>C:\Users\AlejandroAcosta\Documents\ai-workstation\work\monitor_inventory_2026-07-27\monitors\IMG_6408.JPG</x:v>
      </x:c>
    </x:row>
    <x:row r="134">
      <x:c r="A134" s="9" t="str">
        <x:v>IMG_6409.JPG</x:v>
      </x:c>
      <x:c r="B134" s="9" t="str">
        <x:v>Lenovo</x:v>
      </x:c>
      <x:c r="C134" s="9" t="str">
        <x:v>T2254pC</x:v>
      </x:c>
      <x:c r="D134" s="9" t="str">
        <x:v>60E1-MAR2-WW</x:v>
      </x:c>
      <x:c r="E134" s="9" t="str">
        <x:v>VNA20MK3</x:v>
      </x:c>
      <x:c r="F134" s="9" t="str">
        <x:v>00PC018</x:v>
      </x:c>
      <x:c r="G134" s="10" t="n">
        <x:v>42961</x:v>
      </x:c>
      <x:c r="H134" s="11" t="str">
        <x:v>High</x:v>
      </x:c>
      <x:c r="I134" s="11" t="str">
        <x:v>Ready</x:v>
      </x:c>
      <x:c r="J134" s="15" t="str"/>
      <x:c r="K134" s="15" t="str">
        <x:v>C:\Users\AlejandroAcosta\Documents\ai-workstation\work\monitor_inventory_2026-07-27\monitors\IMG_6409.JPG</x:v>
      </x:c>
    </x:row>
    <x:row r="135">
      <x:c r="A135" s="9" t="str">
        <x:v>IMG_6410.JPG</x:v>
      </x:c>
      <x:c r="B135" s="9" t="str">
        <x:v>Lenovo</x:v>
      </x:c>
      <x:c r="C135" s="9" t="str"/>
      <x:c r="D135" s="9" t="str"/>
      <x:c r="E135" s="9" t="str">
        <x:v>VNA21PA9</x:v>
      </x:c>
      <x:c r="F135" s="9" t="str"/>
      <x:c r="G135" s="10"/>
      <x:c r="H135" s="11" t="str">
        <x:v>Medium</x:v>
      </x:c>
      <x:c r="I135" s="11" t="str">
        <x:v>Needs Review</x:v>
      </x:c>
      <x:c r="J135" s="15" t="str">
        <x:v>Model not confidently extracted; Manufacture date not extracted</x:v>
      </x:c>
      <x:c r="K135" s="15" t="str">
        <x:v>C:\Users\AlejandroAcosta\Documents\ai-workstation\work\monitor_inventory_2026-07-27\monitors\IMG_6410.JPG</x:v>
      </x:c>
    </x:row>
    <x:row r="136">
      <x:c r="A136" s="9" t="str">
        <x:v>IMG_6411.JPG</x:v>
      </x:c>
      <x:c r="B136" s="9" t="str">
        <x:v>Lenovo</x:v>
      </x:c>
      <x:c r="C136" s="9" t="str"/>
      <x:c r="D136" s="9" t="str"/>
      <x:c r="E136" s="9" t="str">
        <x:v>VNA26G98</x:v>
      </x:c>
      <x:c r="F136" s="9" t="str"/>
      <x:c r="G136" s="10"/>
      <x:c r="H136" s="11" t="str">
        <x:v>Medium</x:v>
      </x:c>
      <x:c r="I136" s="11" t="str">
        <x:v>Needs Review</x:v>
      </x:c>
      <x:c r="J136" s="15" t="str">
        <x:v>Model not confidently extracted; Manufacture date not extracted</x:v>
      </x:c>
      <x:c r="K136" s="15" t="str">
        <x:v>C:\Users\AlejandroAcosta\Documents\ai-workstation\work\monitor_inventory_2026-07-27\monitors\IMG_6411.JPG</x:v>
      </x:c>
    </x:row>
    <x:row r="137">
      <x:c r="A137" s="9" t="str">
        <x:v>IMG_6412.JPG</x:v>
      </x:c>
      <x:c r="B137" s="9" t="str">
        <x:v>Lenovo</x:v>
      </x:c>
      <x:c r="C137" s="9" t="str">
        <x:v>T22i-10</x:v>
      </x:c>
      <x:c r="D137" s="9" t="str">
        <x:v>61A9-MAR1-WW</x:v>
      </x:c>
      <x:c r="E137" s="9" t="str">
        <x:v>V5LA0103</x:v>
      </x:c>
      <x:c r="F137" s="9" t="str">
        <x:v>00PC160</x:v>
      </x:c>
      <x:c r="G137" s="10" t="n">
        <x:v>43645</x:v>
      </x:c>
      <x:c r="H137" s="11" t="str">
        <x:v>High</x:v>
      </x:c>
      <x:c r="I137" s="11" t="str">
        <x:v>Ready</x:v>
      </x:c>
      <x:c r="J137" s="15" t="str"/>
      <x:c r="K137" s="15" t="str">
        <x:v>C:\Users\AlejandroAcosta\Documents\ai-workstation\work\monitor_inventory_2026-07-27\monitors\IMG_6412.JPG</x:v>
      </x:c>
    </x:row>
    <x:row r="138">
      <x:c r="A138" s="9" t="str">
        <x:v>IMG_6413.JPG</x:v>
      </x:c>
      <x:c r="B138" s="9" t="str">
        <x:v>Lenovo</x:v>
      </x:c>
      <x:c r="C138" s="9" t="str">
        <x:v>T22i-10</x:v>
      </x:c>
      <x:c r="D138" s="9" t="str">
        <x:v>61A9-MAR1-WW</x:v>
      </x:c>
      <x:c r="E138" s="9" t="str">
        <x:v>V5LA0117</x:v>
      </x:c>
      <x:c r="F138" s="9" t="str">
        <x:v>00PC160</x:v>
      </x:c>
      <x:c r="G138" s="10" t="n">
        <x:v>43645</x:v>
      </x:c>
      <x:c r="H138" s="11" t="str">
        <x:v>High</x:v>
      </x:c>
      <x:c r="I138" s="11" t="str">
        <x:v>Ready</x:v>
      </x:c>
      <x:c r="J138" s="15" t="str"/>
      <x:c r="K138" s="15" t="str">
        <x:v>C:\Users\AlejandroAcosta\Documents\ai-workstation\work\monitor_inventory_2026-07-27\monitors\IMG_6413.JPG</x:v>
      </x:c>
    </x:row>
    <x:row r="139">
      <x:c r="A139" s="9" t="str">
        <x:v>IMG_6416.JPG</x:v>
      </x:c>
      <x:c r="B139" s="9" t="str">
        <x:v>Lenovo</x:v>
      </x:c>
      <x:c r="C139" s="9" t="str"/>
      <x:c r="D139" s="9" t="str"/>
      <x:c r="E139" s="9" t="str">
        <x:v>VNA21PMN</x:v>
      </x:c>
      <x:c r="F139" s="9" t="str"/>
      <x:c r="G139" s="10" t="n">
        <x:v>42996</x:v>
      </x:c>
      <x:c r="H139" s="11" t="str">
        <x:v>Medium</x:v>
      </x:c>
      <x:c r="I139" s="11" t="str">
        <x:v>Needs Review</x:v>
      </x:c>
      <x:c r="J139" s="15" t="str">
        <x:v>Model not confidently extracted</x:v>
      </x:c>
      <x:c r="K139" s="15" t="str">
        <x:v>C:\Users\AlejandroAcosta\Documents\ai-workstation\work\monitor_inventory_2026-07-27\monitors\IMG_6416.JPG</x:v>
      </x:c>
    </x:row>
    <x:row r="140">
      <x:c r="A140" s="9" t="str">
        <x:v>IMG_6417.JPG</x:v>
      </x:c>
      <x:c r="B140" s="9" t="str">
        <x:v>Lenovo</x:v>
      </x:c>
      <x:c r="C140" s="9" t="str">
        <x:v>T2254pC</x:v>
      </x:c>
      <x:c r="D140" s="9" t="str">
        <x:v>60E1-MAR2-WW</x:v>
      </x:c>
      <x:c r="E140" s="9" t="str">
        <x:v>VNA20MKX</x:v>
      </x:c>
      <x:c r="F140" s="9" t="str">
        <x:v>00PC018</x:v>
      </x:c>
      <x:c r="G140" s="10" t="n">
        <x:v>42961</x:v>
      </x:c>
      <x:c r="H140" s="11" t="str">
        <x:v>High</x:v>
      </x:c>
      <x:c r="I140" s="11" t="str">
        <x:v>Ready</x:v>
      </x:c>
      <x:c r="J140" s="15" t="str"/>
      <x:c r="K140" s="15" t="str">
        <x:v>C:\Users\AlejandroAcosta\Documents\ai-workstation\work\monitor_inventory_2026-07-27\monitors\IMG_6417.JPG</x:v>
      </x:c>
    </x:row>
    <x:row r="141">
      <x:c r="A141" s="9" t="str">
        <x:v>IMG_6418.JPG</x:v>
      </x:c>
      <x:c r="B141" s="9" t="str">
        <x:v>Lenovo</x:v>
      </x:c>
      <x:c r="C141" s="9" t="str">
        <x:v>T2254pC</x:v>
      </x:c>
      <x:c r="D141" s="9" t="str">
        <x:v>60E1-MAR2-WW</x:v>
      </x:c>
      <x:c r="E141" s="9" t="str">
        <x:v>VNA21PH4</x:v>
      </x:c>
      <x:c r="F141" s="9" t="str">
        <x:v>00PC018</x:v>
      </x:c>
      <x:c r="G141" s="10" t="n">
        <x:v>42996</x:v>
      </x:c>
      <x:c r="H141" s="11" t="str">
        <x:v>High</x:v>
      </x:c>
      <x:c r="I141" s="11" t="str">
        <x:v>Ready</x:v>
      </x:c>
      <x:c r="J141" s="15" t="str"/>
      <x:c r="K141" s="15" t="str">
        <x:v>C:\Users\AlejandroAcosta\Documents\ai-workstation\work\monitor_inventory_2026-07-27\monitors\IMG_6418.JPG</x:v>
      </x:c>
    </x:row>
    <x:row r="142">
      <x:c r="A142" s="9" t="str">
        <x:v>IMG_6419.JPG</x:v>
      </x:c>
      <x:c r="B142" s="9" t="str">
        <x:v>Lenovo</x:v>
      </x:c>
      <x:c r="C142" s="9" t="str">
        <x:v>T2254pC</x:v>
      </x:c>
      <x:c r="D142" s="9" t="str">
        <x:v>60E1-MAR2-WW</x:v>
      </x:c>
      <x:c r="E142" s="9" t="str">
        <x:v>VNA21PH1</x:v>
      </x:c>
      <x:c r="F142" s="9" t="str">
        <x:v>00PC018</x:v>
      </x:c>
      <x:c r="G142" s="10" t="n">
        <x:v>42996</x:v>
      </x:c>
      <x:c r="H142" s="11" t="str">
        <x:v>High</x:v>
      </x:c>
      <x:c r="I142" s="11" t="str">
        <x:v>Ready</x:v>
      </x:c>
      <x:c r="J142" s="15" t="str"/>
      <x:c r="K142" s="15" t="str">
        <x:v>C:\Users\AlejandroAcosta\Documents\ai-workstation\work\monitor_inventory_2026-07-27\monitors\IMG_6419.JPG</x:v>
      </x:c>
    </x:row>
    <x:row r="143">
      <x:c r="A143" s="9" t="str">
        <x:v>IMG_6420.JPG</x:v>
      </x:c>
      <x:c r="B143" s="9" t="str">
        <x:v>Lenovo</x:v>
      </x:c>
      <x:c r="C143" s="9" t="str">
        <x:v>T2254pC</x:v>
      </x:c>
      <x:c r="D143" s="9" t="str">
        <x:v>60E1-MAR2-WW</x:v>
      </x:c>
      <x:c r="E143" s="9" t="str">
        <x:v>VNA20HBH</x:v>
      </x:c>
      <x:c r="F143" s="9" t="str">
        <x:v>00PC018</x:v>
      </x:c>
      <x:c r="G143" s="10"/>
      <x:c r="H143" s="11" t="str">
        <x:v>High</x:v>
      </x:c>
      <x:c r="I143" s="11" t="str">
        <x:v>Needs Review</x:v>
      </x:c>
      <x:c r="J143" s="15" t="str">
        <x:v>Manufacture date not extracted</x:v>
      </x:c>
      <x:c r="K143" s="15" t="str">
        <x:v>C:\Users\AlejandroAcosta\Documents\ai-workstation\work\monitor_inventory_2026-07-27\monitors\IMG_6420.JPG</x:v>
      </x:c>
    </x:row>
    <x:row r="144">
      <x:c r="A144" s="9" t="str">
        <x:v>IMG_6421.JPG</x:v>
      </x:c>
      <x:c r="B144" s="9" t="str">
        <x:v>Lenovo</x:v>
      </x:c>
      <x:c r="C144" s="9" t="str">
        <x:v>D20215FT0</x:v>
      </x:c>
      <x:c r="D144" s="9" t="str">
        <x:v>61FE-MAR6-WW</x:v>
      </x:c>
      <x:c r="E144" s="9" t="str">
        <x:v>V9-06ZGY6</x:v>
      </x:c>
      <x:c r="F144" s="9" t="str">
        <x:v>5D10Y48252</x:v>
      </x:c>
      <x:c r="G144" s="10" t="n">
        <x:v>44161</x:v>
      </x:c>
      <x:c r="H144" s="11" t="str">
        <x:v>High</x:v>
      </x:c>
      <x:c r="I144" s="11" t="str">
        <x:v>Ready</x:v>
      </x:c>
      <x:c r="J144" s="15" t="str"/>
      <x:c r="K144" s="15" t="str">
        <x:v>C:\Users\AlejandroAcosta\Documents\ai-workstation\work\monitor_inventory_2026-07-27\monitors\IMG_6421.JPG</x:v>
      </x:c>
    </x:row>
    <x:row r="145">
      <x:c r="A145" s="9" t="str">
        <x:v>IMG_6422.JPG</x:v>
      </x:c>
      <x:c r="B145" s="9" t="str">
        <x:v>Lenovo</x:v>
      </x:c>
      <x:c r="C145" s="9" t="str">
        <x:v>T2254pC</x:v>
      </x:c>
      <x:c r="D145" s="9" t="str">
        <x:v>60E1-MAR2-WW</x:v>
      </x:c>
      <x:c r="E145" s="9" t="str">
        <x:v>VNA20MYM</x:v>
      </x:c>
      <x:c r="F145" s="9" t="str">
        <x:v>00PC018</x:v>
      </x:c>
      <x:c r="G145" s="10" t="n">
        <x:v>42961</x:v>
      </x:c>
      <x:c r="H145" s="11" t="str">
        <x:v>High</x:v>
      </x:c>
      <x:c r="I145" s="11" t="str">
        <x:v>Ready</x:v>
      </x:c>
      <x:c r="J145" s="15" t="str"/>
      <x:c r="K145" s="15" t="str">
        <x:v>C:\Users\AlejandroAcosta\Documents\ai-workstation\work\monitor_inventory_2026-07-27\monitors\IMG_6422.JPG</x:v>
      </x:c>
    </x:row>
    <x:row r="146">
      <x:c r="A146" s="9" t="str">
        <x:v>IMG_6423.JPG</x:v>
      </x:c>
      <x:c r="B146" s="9" t="str">
        <x:v>Lenovo</x:v>
      </x:c>
      <x:c r="C146" s="9" t="str">
        <x:v>T2254pC</x:v>
      </x:c>
      <x:c r="D146" s="9" t="str">
        <x:v>60E1-MAR2-WW</x:v>
      </x:c>
      <x:c r="E146" s="9" t="str">
        <x:v>VNA21PD7</x:v>
      </x:c>
      <x:c r="F146" s="9" t="str">
        <x:v>00PC018</x:v>
      </x:c>
      <x:c r="G146" s="10" t="n">
        <x:v>42979</x:v>
      </x:c>
      <x:c r="H146" s="11" t="str">
        <x:v>High</x:v>
      </x:c>
      <x:c r="I146" s="11" t="str">
        <x:v>Ready</x:v>
      </x:c>
      <x:c r="J146" s="15" t="str"/>
      <x:c r="K146" s="15" t="str">
        <x:v>C:\Users\AlejandroAcosta\Documents\ai-workstation\work\monitor_inventory_2026-07-27\monitors\IMG_6423.JPG</x:v>
      </x:c>
    </x:row>
    <x:row r="147">
      <x:c r="A147" s="9" t="str">
        <x:v>IMG_6424.JPG</x:v>
      </x:c>
      <x:c r="B147" s="9" t="str">
        <x:v>Lenovo</x:v>
      </x:c>
      <x:c r="C147" s="9" t="str"/>
      <x:c r="D147" s="9" t="str"/>
      <x:c r="E147" s="9" t="str">
        <x:v>VNA21PCK</x:v>
      </x:c>
      <x:c r="F147" s="9" t="str"/>
      <x:c r="G147" s="10"/>
      <x:c r="H147" s="11" t="str">
        <x:v>Medium</x:v>
      </x:c>
      <x:c r="I147" s="11" t="str">
        <x:v>Needs Review</x:v>
      </x:c>
      <x:c r="J147" s="15" t="str">
        <x:v>Model not confidently extracted; Manufacture date not extracted</x:v>
      </x:c>
      <x:c r="K147" s="15" t="str">
        <x:v>C:\Users\AlejandroAcosta\Documents\ai-workstation\work\monitor_inventory_2026-07-27\monitors\IMG_6424.JPG</x:v>
      </x:c>
    </x:row>
    <x:row r="148">
      <x:c r="A148" s="9" t="str">
        <x:v>IMG_6425.JPG</x:v>
      </x:c>
      <x:c r="B148" s="9" t="str">
        <x:v>Lenovo</x:v>
      </x:c>
      <x:c r="C148" s="9" t="str">
        <x:v>T2254pC</x:v>
      </x:c>
      <x:c r="D148" s="9" t="str">
        <x:v>60E1-MAR2-WW</x:v>
      </x:c>
      <x:c r="E148" s="9" t="str">
        <x:v>VNA21PGP</x:v>
      </x:c>
      <x:c r="F148" s="9" t="str">
        <x:v>00PC018</x:v>
      </x:c>
      <x:c r="G148" s="10" t="n">
        <x:v>42996</x:v>
      </x:c>
      <x:c r="H148" s="11" t="str">
        <x:v>High</x:v>
      </x:c>
      <x:c r="I148" s="11" t="str">
        <x:v>Ready</x:v>
      </x:c>
      <x:c r="J148" s="15" t="str"/>
      <x:c r="K148" s="15" t="str">
        <x:v>C:\Users\AlejandroAcosta\Documents\ai-workstation\work\monitor_inventory_2026-07-27\monitors\IMG_6425.JPG</x:v>
      </x:c>
    </x:row>
    <x:row r="149">
      <x:c r="A149" s="9" t="str">
        <x:v>IMG_6426.JPG</x:v>
      </x:c>
      <x:c r="B149" s="9" t="str">
        <x:v>Lenovo</x:v>
      </x:c>
      <x:c r="C149" s="9" t="str">
        <x:v>T2254pC</x:v>
      </x:c>
      <x:c r="D149" s="9" t="str">
        <x:v>60E1-MAR2-WW</x:v>
      </x:c>
      <x:c r="E149" s="9" t="str">
        <x:v>VNA20MYG</x:v>
      </x:c>
      <x:c r="F149" s="9" t="str">
        <x:v>00PC018</x:v>
      </x:c>
      <x:c r="G149" s="10" t="n">
        <x:v>42961</x:v>
      </x:c>
      <x:c r="H149" s="11" t="str">
        <x:v>High</x:v>
      </x:c>
      <x:c r="I149" s="11" t="str">
        <x:v>Ready</x:v>
      </x:c>
      <x:c r="J149" s="15" t="str"/>
      <x:c r="K149" s="15" t="str">
        <x:v>C:\Users\AlejandroAcosta\Documents\ai-workstation\work\monitor_inventory_2026-07-27\monitors\IMG_6426.JPG</x:v>
      </x:c>
    </x:row>
    <x:row r="150">
      <x:c r="A150" s="9" t="str">
        <x:v>IMG_6427.JPG</x:v>
      </x:c>
      <x:c r="B150" s="9" t="str">
        <x:v>Lenovo</x:v>
      </x:c>
      <x:c r="C150" s="9" t="str">
        <x:v>T2254pC</x:v>
      </x:c>
      <x:c r="D150" s="9" t="str">
        <x:v>60E1-MAR2-WW</x:v>
      </x:c>
      <x:c r="E150" s="9" t="str">
        <x:v>VNA21PMW</x:v>
      </x:c>
      <x:c r="F150" s="9" t="str">
        <x:v>00PC018</x:v>
      </x:c>
      <x:c r="G150" s="10" t="n">
        <x:v>42996</x:v>
      </x:c>
      <x:c r="H150" s="11" t="str">
        <x:v>High</x:v>
      </x:c>
      <x:c r="I150" s="11" t="str">
        <x:v>Ready</x:v>
      </x:c>
      <x:c r="J150" s="15" t="str"/>
      <x:c r="K150" s="15" t="str">
        <x:v>C:\Users\AlejandroAcosta\Documents\ai-workstation\work\monitor_inventory_2026-07-27\monitors\IMG_6427.JPG</x:v>
      </x:c>
    </x:row>
    <x:row r="151">
      <x:c r="A151" s="9" t="str">
        <x:v>IMG_6429.jpg</x:v>
      </x:c>
      <x:c r="B151" s="9" t="str">
        <x:v>Lenovo</x:v>
      </x:c>
      <x:c r="C151" s="9" t="str">
        <x:v>T22i-10</x:v>
      </x:c>
      <x:c r="D151" s="9" t="str">
        <x:v>61A9-MAR1-WW</x:v>
      </x:c>
      <x:c r="E151" s="9" t="str">
        <x:v>V5WN8159</x:v>
      </x:c>
      <x:c r="F151" s="9" t="str">
        <x:v>00PC160</x:v>
      </x:c>
      <x:c r="G151" s="10"/>
      <x:c r="H151" s="11" t="str">
        <x:v>High</x:v>
      </x:c>
      <x:c r="I151" s="11" t="str">
        <x:v>Needs Review</x:v>
      </x:c>
      <x:c r="J151" s="15" t="str">
        <x:v>Manufacture date not extracted</x:v>
      </x:c>
      <x:c r="K151" s="15" t="str">
        <x:v>C:\Users\AlejandroAcosta\Documents\ai-workstation\work\monitor_inventory_2026-07-27\monitors\IMG_6429.jpg</x:v>
      </x:c>
    </x:row>
    <x:row r="152">
      <x:c r="A152" s="9" t="str">
        <x:v>IMG_6430.jpg</x:v>
      </x:c>
      <x:c r="B152" s="9" t="str">
        <x:v>Lenovo</x:v>
      </x:c>
      <x:c r="C152" s="9" t="str">
        <x:v>T2254pC</x:v>
      </x:c>
      <x:c r="D152" s="9" t="str">
        <x:v>60E1-MAR2-WW</x:v>
      </x:c>
      <x:c r="E152" s="9" t="str">
        <x:v>VNA21PH3</x:v>
      </x:c>
      <x:c r="F152" s="9" t="str">
        <x:v>00PC018</x:v>
      </x:c>
      <x:c r="G152" s="10"/>
      <x:c r="H152" s="11" t="str">
        <x:v>High</x:v>
      </x:c>
      <x:c r="I152" s="11" t="str">
        <x:v>Needs Review</x:v>
      </x:c>
      <x:c r="J152" s="15" t="str">
        <x:v>Manufacture date not extracted</x:v>
      </x:c>
      <x:c r="K152" s="15" t="str">
        <x:v>C:\Users\AlejandroAcosta\Documents\ai-workstation\work\monitor_inventory_2026-07-27\monitors\IMG_6430.jpg</x:v>
      </x:c>
    </x:row>
    <x:row r="153">
      <x:c r="A153" s="9" t="str">
        <x:v>IMG_6431.JPG</x:v>
      </x:c>
      <x:c r="B153" s="9" t="str">
        <x:v>Lenovo</x:v>
      </x:c>
      <x:c r="C153" s="9" t="str">
        <x:v>T2254pC</x:v>
      </x:c>
      <x:c r="D153" s="9" t="str">
        <x:v>60E1-MAR2-WW</x:v>
      </x:c>
      <x:c r="E153" s="9" t="str">
        <x:v>VNA21PMO</x:v>
      </x:c>
      <x:c r="F153" s="9" t="str">
        <x:v>00PC018</x:v>
      </x:c>
      <x:c r="G153" s="10" t="n">
        <x:v>42996</x:v>
      </x:c>
      <x:c r="H153" s="11" t="str">
        <x:v>High</x:v>
      </x:c>
      <x:c r="I153" s="11" t="str">
        <x:v>Ready</x:v>
      </x:c>
      <x:c r="J153" s="15" t="str"/>
      <x:c r="K153" s="15" t="str">
        <x:v>C:\Users\AlejandroAcosta\Documents\ai-workstation\work\monitor_inventory_2026-07-27\monitors\IMG_6431.JPG</x:v>
      </x:c>
    </x:row>
    <x:row r="154">
      <x:c r="A154" s="9" t="str">
        <x:v>IMG_6432.JPG</x:v>
      </x:c>
      <x:c r="B154" s="9" t="str">
        <x:v>Lenovo</x:v>
      </x:c>
      <x:c r="C154" s="9" t="str">
        <x:v>T2254pC</x:v>
      </x:c>
      <x:c r="D154" s="9" t="str">
        <x:v>60E1-MAR2-WW</x:v>
      </x:c>
      <x:c r="E154" s="9" t="str">
        <x:v>VNA21PMG</x:v>
      </x:c>
      <x:c r="F154" s="9" t="str">
        <x:v>00PC018</x:v>
      </x:c>
      <x:c r="G154" s="10" t="n">
        <x:v>42996</x:v>
      </x:c>
      <x:c r="H154" s="11" t="str">
        <x:v>High</x:v>
      </x:c>
      <x:c r="I154" s="11" t="str">
        <x:v>Ready</x:v>
      </x:c>
      <x:c r="J154" s="15" t="str"/>
      <x:c r="K154" s="15" t="str">
        <x:v>C:\Users\AlejandroAcosta\Documents\ai-workstation\work\monitor_inventory_2026-07-27\monitors\IMG_6432.JPG</x:v>
      </x:c>
    </x:row>
    <x:row r="155">
      <x:c r="A155" s="9" t="str">
        <x:v>IMG_6433.JPG</x:v>
      </x:c>
      <x:c r="B155" s="9" t="str">
        <x:v>Lenovo</x:v>
      </x:c>
      <x:c r="C155" s="9" t="str">
        <x:v>T2254pC</x:v>
      </x:c>
      <x:c r="D155" s="9" t="str">
        <x:v>60E1-MAR2-WW</x:v>
      </x:c>
      <x:c r="E155" s="9" t="str">
        <x:v>VNA20MYH</x:v>
      </x:c>
      <x:c r="F155" s="9" t="str">
        <x:v>00PC018</x:v>
      </x:c>
      <x:c r="G155" s="10" t="n">
        <x:v>42961</x:v>
      </x:c>
      <x:c r="H155" s="11" t="str">
        <x:v>High</x:v>
      </x:c>
      <x:c r="I155" s="11" t="str">
        <x:v>Ready</x:v>
      </x:c>
      <x:c r="J155" s="15" t="str"/>
      <x:c r="K155" s="15" t="str">
        <x:v>C:\Users\AlejandroAcosta\Documents\ai-workstation\work\monitor_inventory_2026-07-27\monitors\IMG_6433.JPG</x:v>
      </x:c>
    </x:row>
    <x:row r="156">
      <x:c r="A156" s="9" t="str">
        <x:v>IMG_6435.JPG</x:v>
      </x:c>
      <x:c r="B156" s="9" t="str">
        <x:v>Lenovo</x:v>
      </x:c>
      <x:c r="C156" s="9" t="str">
        <x:v>T22i-10</x:v>
      </x:c>
      <x:c r="D156" s="9" t="str">
        <x:v>61A9-MAR1-WW</x:v>
      </x:c>
      <x:c r="E156" s="9" t="str">
        <x:v>V5LA0111</x:v>
      </x:c>
      <x:c r="F156" s="9" t="str">
        <x:v>00PC160</x:v>
      </x:c>
      <x:c r="G156" s="10" t="n">
        <x:v>43645</x:v>
      </x:c>
      <x:c r="H156" s="11" t="str">
        <x:v>High</x:v>
      </x:c>
      <x:c r="I156" s="11" t="str">
        <x:v>Ready</x:v>
      </x:c>
      <x:c r="J156" s="15" t="str"/>
      <x:c r="K156" s="15" t="str">
        <x:v>C:\Users\AlejandroAcosta\Documents\ai-workstation\work\monitor_inventory_2026-07-27\monitors\IMG_6435.JPG</x:v>
      </x:c>
    </x:row>
    <x:row r="157">
      <x:c r="A157" s="9" t="str">
        <x:v>IMG_6436.JPG</x:v>
      </x:c>
      <x:c r="B157" s="9" t="str">
        <x:v>Lenovo</x:v>
      </x:c>
      <x:c r="C157" s="9" t="str">
        <x:v>T22i-10</x:v>
      </x:c>
      <x:c r="D157" s="9" t="str">
        <x:v>61A9-MAR1-WW</x:v>
      </x:c>
      <x:c r="E157" s="9" t="str">
        <x:v>V5Z20752</x:v>
      </x:c>
      <x:c r="F157" s="9" t="str">
        <x:v>00PC160</x:v>
      </x:c>
      <x:c r="G157" s="10" t="n">
        <x:v>43311</x:v>
      </x:c>
      <x:c r="H157" s="11" t="str">
        <x:v>High</x:v>
      </x:c>
      <x:c r="I157" s="11" t="str">
        <x:v>Ready</x:v>
      </x:c>
      <x:c r="J157" s="15" t="str"/>
      <x:c r="K157" s="15" t="str">
        <x:v>C:\Users\AlejandroAcosta\Documents\ai-workstation\work\monitor_inventory_2026-07-27\monitors\IMG_6436.JPG</x:v>
      </x:c>
    </x:row>
    <x:row r="158">
      <x:c r="A158" s="9" t="str">
        <x:v>IMG_6437.JPG</x:v>
      </x:c>
      <x:c r="B158" s="9" t="str">
        <x:v>Lenovo</x:v>
      </x:c>
      <x:c r="C158" s="9" t="str">
        <x:v>T2254pC</x:v>
      </x:c>
      <x:c r="D158" s="9" t="str">
        <x:v>60E1-MAR2-WW</x:v>
      </x:c>
      <x:c r="E158" s="9" t="str">
        <x:v>VNA21P81</x:v>
      </x:c>
      <x:c r="F158" s="9" t="str">
        <x:v>00PC018</x:v>
      </x:c>
      <x:c r="G158" s="10" t="n">
        <x:v>42996</x:v>
      </x:c>
      <x:c r="H158" s="11" t="str">
        <x:v>High</x:v>
      </x:c>
      <x:c r="I158" s="11" t="str">
        <x:v>Ready</x:v>
      </x:c>
      <x:c r="J158" s="15" t="str"/>
      <x:c r="K158" s="15" t="str">
        <x:v>C:\Users\AlejandroAcosta\Documents\ai-workstation\work\monitor_inventory_2026-07-27\monitors\IMG_6437.JPG</x:v>
      </x:c>
    </x:row>
    <x:row r="159">
      <x:c r="A159" s="9" t="str">
        <x:v>IMG_6438.JPG</x:v>
      </x:c>
      <x:c r="B159" s="9" t="str">
        <x:v>Lenovo</x:v>
      </x:c>
      <x:c r="C159" s="9" t="str">
        <x:v>T2254pC</x:v>
      </x:c>
      <x:c r="D159" s="9" t="str">
        <x:v>60E1-MAR2-WW</x:v>
      </x:c>
      <x:c r="E159" s="9" t="str">
        <x:v>VNA21PGX</x:v>
      </x:c>
      <x:c r="F159" s="9" t="str">
        <x:v>00PC018</x:v>
      </x:c>
      <x:c r="G159" s="10" t="n">
        <x:v>42996</x:v>
      </x:c>
      <x:c r="H159" s="11" t="str">
        <x:v>High</x:v>
      </x:c>
      <x:c r="I159" s="11" t="str">
        <x:v>Ready</x:v>
      </x:c>
      <x:c r="J159" s="15" t="str"/>
      <x:c r="K159" s="15" t="str">
        <x:v>C:\Users\AlejandroAcosta\Documents\ai-workstation\work\monitor_inventory_2026-07-27\monitors\IMG_6438.JPG</x:v>
      </x:c>
    </x:row>
    <x:row r="160">
      <x:c r="A160" s="9" t="str">
        <x:v>IMG_6439.JPG</x:v>
      </x:c>
      <x:c r="B160" s="9" t="str">
        <x:v>Lenovo</x:v>
      </x:c>
      <x:c r="C160" s="9" t="str">
        <x:v>T2254pC</x:v>
      </x:c>
      <x:c r="D160" s="9" t="str">
        <x:v>60E1-MAR2-WW</x:v>
      </x:c>
      <x:c r="E160" s="9" t="str">
        <x:v>VNA21PDC</x:v>
      </x:c>
      <x:c r="F160" s="9" t="str">
        <x:v>00PC018</x:v>
      </x:c>
      <x:c r="G160" s="10" t="n">
        <x:v>42996</x:v>
      </x:c>
      <x:c r="H160" s="11" t="str">
        <x:v>High</x:v>
      </x:c>
      <x:c r="I160" s="11" t="str">
        <x:v>Ready</x:v>
      </x:c>
      <x:c r="J160" s="15" t="str"/>
      <x:c r="K160" s="15" t="str">
        <x:v>C:\Users\AlejandroAcosta\Documents\ai-workstation\work\monitor_inventory_2026-07-27\monitors\IMG_6439.JPG</x:v>
      </x:c>
    </x:row>
    <x:row r="161">
      <x:c r="A161" s="9" t="str">
        <x:v>IMG_6440.JPG</x:v>
      </x:c>
      <x:c r="B161" s="9" t="str">
        <x:v>Lenovo</x:v>
      </x:c>
      <x:c r="C161" s="9" t="str">
        <x:v>T2254pC</x:v>
      </x:c>
      <x:c r="D161" s="9" t="str">
        <x:v>60E1-MAR2-WW</x:v>
      </x:c>
      <x:c r="E161" s="9" t="str">
        <x:v>VNA21P7L</x:v>
      </x:c>
      <x:c r="F161" s="9" t="str">
        <x:v>00PC018</x:v>
      </x:c>
      <x:c r="G161" s="10" t="n">
        <x:v>42996</x:v>
      </x:c>
      <x:c r="H161" s="11" t="str">
        <x:v>High</x:v>
      </x:c>
      <x:c r="I161" s="11" t="str">
        <x:v>Ready</x:v>
      </x:c>
      <x:c r="J161" s="15" t="str"/>
      <x:c r="K161" s="15" t="str">
        <x:v>C:\Users\AlejandroAcosta\Documents\ai-workstation\work\monitor_inventory_2026-07-27\monitors\IMG_6440.JPG</x:v>
      </x:c>
    </x:row>
    <x:row r="162">
      <x:c r="A162" s="9" t="str">
        <x:v>IMG_6441.JPG</x:v>
      </x:c>
      <x:c r="B162" s="9" t="str">
        <x:v>Lenovo</x:v>
      </x:c>
      <x:c r="C162" s="9" t="str">
        <x:v>T2254pC</x:v>
      </x:c>
      <x:c r="D162" s="9" t="str">
        <x:v>60E1-MAR2-WW</x:v>
      </x:c>
      <x:c r="E162" s="9" t="str">
        <x:v>VNA21PND</x:v>
      </x:c>
      <x:c r="F162" s="9" t="str">
        <x:v>00PC018</x:v>
      </x:c>
      <x:c r="G162" s="10" t="n">
        <x:v>42996</x:v>
      </x:c>
      <x:c r="H162" s="11" t="str">
        <x:v>High</x:v>
      </x:c>
      <x:c r="I162" s="11" t="str">
        <x:v>Ready</x:v>
      </x:c>
      <x:c r="J162" s="15" t="str"/>
      <x:c r="K162" s="15" t="str">
        <x:v>C:\Users\AlejandroAcosta\Documents\ai-workstation\work\monitor_inventory_2026-07-27\monitors\IMG_6441.JPG</x:v>
      </x:c>
    </x:row>
    <x:row r="163">
      <x:c r="A163" s="9" t="str">
        <x:v>IMG_6442.JPG</x:v>
      </x:c>
      <x:c r="B163" s="9" t="str">
        <x:v>Lenovo</x:v>
      </x:c>
      <x:c r="C163" s="9" t="str"/>
      <x:c r="D163" s="9" t="str"/>
      <x:c r="E163" s="9" t="str">
        <x:v>VNA21PHD</x:v>
      </x:c>
      <x:c r="F163" s="9" t="str"/>
      <x:c r="G163" s="10"/>
      <x:c r="H163" s="11" t="str">
        <x:v>Medium</x:v>
      </x:c>
      <x:c r="I163" s="11" t="str">
        <x:v>Needs Review</x:v>
      </x:c>
      <x:c r="J163" s="15" t="str">
        <x:v>Model not confidently extracted; Manufacture date not extracted</x:v>
      </x:c>
      <x:c r="K163" s="15" t="str">
        <x:v>C:\Users\AlejandroAcosta\Documents\ai-workstation\work\monitor_inventory_2026-07-27\monitors\IMG_6442.JPG</x:v>
      </x:c>
    </x:row>
    <x:row r="164">
      <x:c r="A164" s="9" t="str">
        <x:v>IMG_6443.JPG</x:v>
      </x:c>
      <x:c r="B164" s="9" t="str">
        <x:v>Lenovo</x:v>
      </x:c>
      <x:c r="C164" s="9" t="str">
        <x:v>T2254pC</x:v>
      </x:c>
      <x:c r="D164" s="9" t="str">
        <x:v>60E1-MAR2-WW</x:v>
      </x:c>
      <x:c r="E164" s="9" t="str">
        <x:v>VNA20MLX</x:v>
      </x:c>
      <x:c r="F164" s="9" t="str">
        <x:v>00PC018</x:v>
      </x:c>
      <x:c r="G164" s="10" t="n">
        <x:v>42961</x:v>
      </x:c>
      <x:c r="H164" s="11" t="str">
        <x:v>High</x:v>
      </x:c>
      <x:c r="I164" s="11" t="str">
        <x:v>Ready</x:v>
      </x:c>
      <x:c r="J164" s="15" t="str"/>
      <x:c r="K164" s="15" t="str">
        <x:v>C:\Users\AlejandroAcosta\Documents\ai-workstation\work\monitor_inventory_2026-07-27\monitors\IMG_6443.JPG</x:v>
      </x:c>
    </x:row>
    <x:row r="165">
      <x:c r="A165" s="9" t="str">
        <x:v>IMG_6444.JPG</x:v>
      </x:c>
      <x:c r="B165" s="9" t="str">
        <x:v>Lenovo</x:v>
      </x:c>
      <x:c r="C165" s="9" t="str">
        <x:v>T2254pC</x:v>
      </x:c>
      <x:c r="D165" s="9" t="str">
        <x:v>60E1-MAR2-WW</x:v>
      </x:c>
      <x:c r="E165" s="9" t="str">
        <x:v>VNA21PM2</x:v>
      </x:c>
      <x:c r="F165" s="9" t="str">
        <x:v>00PC018</x:v>
      </x:c>
      <x:c r="G165" s="10" t="n">
        <x:v>42996</x:v>
      </x:c>
      <x:c r="H165" s="11" t="str">
        <x:v>High</x:v>
      </x:c>
      <x:c r="I165" s="11" t="str">
        <x:v>Ready</x:v>
      </x:c>
      <x:c r="J165" s="15" t="str"/>
      <x:c r="K165" s="15" t="str">
        <x:v>C:\Users\AlejandroAcosta\Documents\ai-workstation\work\monitor_inventory_2026-07-27\monitors\IMG_6444.JPG</x:v>
      </x:c>
    </x:row>
    <x:row r="166">
      <x:c r="A166" s="9" t="str">
        <x:v>IMG_6445.JPG</x:v>
      </x:c>
      <x:c r="B166" s="9" t="str">
        <x:v>Lenovo</x:v>
      </x:c>
      <x:c r="C166" s="9" t="str"/>
      <x:c r="D166" s="9" t="str"/>
      <x:c r="E166" s="9" t="str">
        <x:v>VNA20MK6</x:v>
      </x:c>
      <x:c r="F166" s="9" t="str"/>
      <x:c r="G166" s="10"/>
      <x:c r="H166" s="11" t="str">
        <x:v>Medium</x:v>
      </x:c>
      <x:c r="I166" s="11" t="str">
        <x:v>Needs Review</x:v>
      </x:c>
      <x:c r="J166" s="15" t="str">
        <x:v>Model not confidently extracted; Manufacture date not extracted</x:v>
      </x:c>
      <x:c r="K166" s="15" t="str">
        <x:v>C:\Users\AlejandroAcosta\Documents\ai-workstation\work\monitor_inventory_2026-07-27\monitors\IMG_6445.JPG</x:v>
      </x:c>
    </x:row>
    <x:row r="167">
      <x:c r="A167" s="9" t="str">
        <x:v>IMG_6446.jpg</x:v>
      </x:c>
      <x:c r="B167" s="9" t="str">
        <x:v>Lenovo</x:v>
      </x:c>
      <x:c r="C167" s="9" t="str">
        <x:v>T2254pC</x:v>
      </x:c>
      <x:c r="D167" s="9" t="str">
        <x:v>60E1-MAR2-WW</x:v>
      </x:c>
      <x:c r="E167" s="9" t="str">
        <x:v>VNA21PN3</x:v>
      </x:c>
      <x:c r="F167" s="9" t="str">
        <x:v>00PC018</x:v>
      </x:c>
      <x:c r="G167" s="10" t="n">
        <x:v>42996</x:v>
      </x:c>
      <x:c r="H167" s="11" t="str">
        <x:v>High</x:v>
      </x:c>
      <x:c r="I167" s="11" t="str">
        <x:v>Ready</x:v>
      </x:c>
      <x:c r="J167" s="15" t="str"/>
      <x:c r="K167" s="15" t="str">
        <x:v>C:\Users\AlejandroAcosta\Documents\ai-workstation\work\monitor_inventory_2026-07-27\monitors\IMG_6446.jpg</x:v>
      </x:c>
    </x:row>
    <x:row r="168">
      <x:c r="A168" s="9" t="str">
        <x:v>IMG_6447.jpg</x:v>
      </x:c>
      <x:c r="B168" s="9" t="str">
        <x:v>Lenovo</x:v>
      </x:c>
      <x:c r="C168" s="9" t="str">
        <x:v>T2254pC</x:v>
      </x:c>
      <x:c r="D168" s="9" t="str">
        <x:v>60E1-MAR2-WW</x:v>
      </x:c>
      <x:c r="E168" s="9" t="str">
        <x:v>VNA21PM3</x:v>
      </x:c>
      <x:c r="F168" s="9" t="str">
        <x:v>00PC018</x:v>
      </x:c>
      <x:c r="G168" s="10" t="n">
        <x:v>42996</x:v>
      </x:c>
      <x:c r="H168" s="11" t="str">
        <x:v>High</x:v>
      </x:c>
      <x:c r="I168" s="11" t="str">
        <x:v>Ready</x:v>
      </x:c>
      <x:c r="J168" s="15" t="str"/>
      <x:c r="K168" s="15" t="str">
        <x:v>C:\Users\AlejandroAcosta\Documents\ai-workstation\work\monitor_inventory_2026-07-27\monitors\IMG_6447.jpg</x:v>
      </x:c>
    </x:row>
    <x:row r="169">
      <x:c r="A169" s="9" t="str">
        <x:v>IMG_6448.JPG</x:v>
      </x:c>
      <x:c r="B169" s="9" t="str">
        <x:v>Lenovo</x:v>
      </x:c>
      <x:c r="C169" s="9" t="str"/>
      <x:c r="D169" s="9" t="str"/>
      <x:c r="E169" s="9" t="str"/>
      <x:c r="F169" s="9" t="str"/>
      <x:c r="G169" s="10"/>
      <x:c r="H169" s="11" t="str">
        <x:v>Low</x:v>
      </x:c>
      <x:c r="I169" s="11" t="str">
        <x:v>Needs Review</x:v>
      </x:c>
      <x:c r="J169" s="15" t="str">
        <x:v>Serial not confidently extracted; Model not confidently extracted; Manufacture date not extracted</x:v>
      </x:c>
      <x:c r="K169" s="15" t="str">
        <x:v>C:\Users\AlejandroAcosta\Documents\ai-workstation\work\monitor_inventory_2026-07-27\monitors\IMG_6448.JPG</x:v>
      </x:c>
    </x:row>
    <x:row r="170">
      <x:c r="A170" s="9" t="str">
        <x:v>IMG_6449.JPG</x:v>
      </x:c>
      <x:c r="B170" s="9" t="str">
        <x:v>Lenovo</x:v>
      </x:c>
      <x:c r="C170" s="9" t="str">
        <x:v>T22i-10</x:v>
      </x:c>
      <x:c r="D170" s="9" t="str">
        <x:v>61A9-MAR1-WW</x:v>
      </x:c>
      <x:c r="E170" s="9" t="str">
        <x:v>V5MV8921</x:v>
      </x:c>
      <x:c r="F170" s="9" t="str">
        <x:v>00PC160</x:v>
      </x:c>
      <x:c r="G170" s="10" t="n">
        <x:v>43733</x:v>
      </x:c>
      <x:c r="H170" s="11" t="str">
        <x:v>High</x:v>
      </x:c>
      <x:c r="I170" s="11" t="str">
        <x:v>Ready</x:v>
      </x:c>
      <x:c r="J170" s="15" t="str"/>
      <x:c r="K170" s="15" t="str">
        <x:v>C:\Users\AlejandroAcosta\Documents\ai-workstation\work\monitor_inventory_2026-07-27\monitors\IMG_6449.JPG</x:v>
      </x:c>
    </x:row>
    <x:row r="171">
      <x:c r="A171" s="9" t="str">
        <x:v>IMG_6450.JPG</x:v>
      </x:c>
      <x:c r="B171" s="9" t="str">
        <x:v>Lenovo</x:v>
      </x:c>
      <x:c r="C171" s="9" t="str">
        <x:v>T2254pC</x:v>
      </x:c>
      <x:c r="D171" s="9" t="str">
        <x:v>60E1-MAR2-WW</x:v>
      </x:c>
      <x:c r="E171" s="9" t="str">
        <x:v>VNA20MK5</x:v>
      </x:c>
      <x:c r="F171" s="9" t="str">
        <x:v>00PC018</x:v>
      </x:c>
      <x:c r="G171" s="10" t="n">
        <x:v>42961</x:v>
      </x:c>
      <x:c r="H171" s="11" t="str">
        <x:v>High</x:v>
      </x:c>
      <x:c r="I171" s="11" t="str">
        <x:v>Ready</x:v>
      </x:c>
      <x:c r="J171" s="15" t="str"/>
      <x:c r="K171" s="15" t="str">
        <x:v>C:\Users\AlejandroAcosta\Documents\ai-workstation\work\monitor_inventory_2026-07-27\monitors\IMG_6450.JPG</x:v>
      </x:c>
    </x:row>
    <x:row r="172">
      <x:c r="A172" s="9" t="str">
        <x:v>IMG_6451.JPG</x:v>
      </x:c>
      <x:c r="B172" s="9" t="str">
        <x:v>Lenovo</x:v>
      </x:c>
      <x:c r="C172" s="9" t="str">
        <x:v>T2254pC</x:v>
      </x:c>
      <x:c r="D172" s="9" t="str">
        <x:v>60E1-MAR2-WW</x:v>
      </x:c>
      <x:c r="E172" s="9" t="str">
        <x:v>VNA21PM4</x:v>
      </x:c>
      <x:c r="F172" s="9" t="str">
        <x:v>00PC018</x:v>
      </x:c>
      <x:c r="G172" s="10" t="n">
        <x:v>42996</x:v>
      </x:c>
      <x:c r="H172" s="11" t="str">
        <x:v>High</x:v>
      </x:c>
      <x:c r="I172" s="11" t="str">
        <x:v>Ready</x:v>
      </x:c>
      <x:c r="J172" s="15" t="str"/>
      <x:c r="K172" s="15" t="str">
        <x:v>C:\Users\AlejandroAcosta\Documents\ai-workstation\work\monitor_inventory_2026-07-27\monitors\IMG_6451.JPG</x:v>
      </x:c>
    </x:row>
    <x:row r="173">
      <x:c r="A173" s="9" t="str">
        <x:v>IMG_6452.JPG</x:v>
      </x:c>
      <x:c r="B173" s="9" t="str">
        <x:v>Lenovo</x:v>
      </x:c>
      <x:c r="C173" s="9" t="str">
        <x:v>T2254pC</x:v>
      </x:c>
      <x:c r="D173" s="9" t="str">
        <x:v>60E1-MAR2-WW</x:v>
      </x:c>
      <x:c r="E173" s="9" t="str">
        <x:v>VNA21PDO</x:v>
      </x:c>
      <x:c r="F173" s="9" t="str">
        <x:v>00PC018</x:v>
      </x:c>
      <x:c r="G173" s="10" t="n">
        <x:v>42996</x:v>
      </x:c>
      <x:c r="H173" s="11" t="str">
        <x:v>High</x:v>
      </x:c>
      <x:c r="I173" s="11" t="str">
        <x:v>Ready</x:v>
      </x:c>
      <x:c r="J173" s="15" t="str"/>
      <x:c r="K173" s="15" t="str">
        <x:v>C:\Users\AlejandroAcosta\Documents\ai-workstation\work\monitor_inventory_2026-07-27\monitors\IMG_6452.JPG</x:v>
      </x:c>
    </x:row>
    <x:row r="174">
      <x:c r="A174" s="9" t="str">
        <x:v>IMG_6453.JPG</x:v>
      </x:c>
      <x:c r="B174" s="9" t="str">
        <x:v>Lenovo</x:v>
      </x:c>
      <x:c r="C174" s="9" t="str">
        <x:v>T2254pC</x:v>
      </x:c>
      <x:c r="D174" s="9" t="str">
        <x:v>60E1-MAR2-WW</x:v>
      </x:c>
      <x:c r="E174" s="9" t="str">
        <x:v>VNA21PMB</x:v>
      </x:c>
      <x:c r="F174" s="9" t="str">
        <x:v>00PC018</x:v>
      </x:c>
      <x:c r="G174" s="10" t="n">
        <x:v>42996</x:v>
      </x:c>
      <x:c r="H174" s="11" t="str">
        <x:v>High</x:v>
      </x:c>
      <x:c r="I174" s="11" t="str">
        <x:v>Ready</x:v>
      </x:c>
      <x:c r="J174" s="15" t="str"/>
      <x:c r="K174" s="15" t="str">
        <x:v>C:\Users\AlejandroAcosta\Documents\ai-workstation\work\monitor_inventory_2026-07-27\monitors\IMG_6453.JPG</x:v>
      </x:c>
    </x:row>
    <x:row r="175">
      <x:c r="A175" s="9" t="str">
        <x:v>IMG_6454.jpg</x:v>
      </x:c>
      <x:c r="B175" s="9" t="str">
        <x:v>Lenovo</x:v>
      </x:c>
      <x:c r="C175" s="9" t="str">
        <x:v>T22i-10</x:v>
      </x:c>
      <x:c r="D175" s="9" t="str">
        <x:v>61A9-MAR1-WW</x:v>
      </x:c>
      <x:c r="E175" s="9" t="str">
        <x:v>V5MV8927</x:v>
      </x:c>
      <x:c r="F175" s="9" t="str">
        <x:v>00PC160</x:v>
      </x:c>
      <x:c r="G175" s="10" t="n">
        <x:v>43733</x:v>
      </x:c>
      <x:c r="H175" s="11" t="str">
        <x:v>High</x:v>
      </x:c>
      <x:c r="I175" s="11" t="str">
        <x:v>Ready</x:v>
      </x:c>
      <x:c r="J175" s="15" t="str"/>
      <x:c r="K175" s="15" t="str">
        <x:v>C:\Users\AlejandroAcosta\Documents\ai-workstation\work\monitor_inventory_2026-07-27\monitors\IMG_6454.jpg</x:v>
      </x:c>
    </x:row>
    <x:row r="176">
      <x:c r="A176" s="9" t="str">
        <x:v>IMG_6455.jpg</x:v>
      </x:c>
      <x:c r="B176" s="9" t="str">
        <x:v>Lenovo</x:v>
      </x:c>
      <x:c r="C176" s="9" t="str">
        <x:v>T2254pC</x:v>
      </x:c>
      <x:c r="D176" s="9" t="str">
        <x:v>60E1-MAR2-WW</x:v>
      </x:c>
      <x:c r="E176" s="9" t="str">
        <x:v>VNA21NCG</x:v>
      </x:c>
      <x:c r="F176" s="9" t="str">
        <x:v>00PC018</x:v>
      </x:c>
      <x:c r="G176" s="10" t="n">
        <x:v>42996</x:v>
      </x:c>
      <x:c r="H176" s="11" t="str">
        <x:v>High</x:v>
      </x:c>
      <x:c r="I176" s="11" t="str">
        <x:v>Ready</x:v>
      </x:c>
      <x:c r="J176" s="15" t="str"/>
      <x:c r="K176" s="15" t="str">
        <x:v>C:\Users\AlejandroAcosta\Documents\ai-workstation\work\monitor_inventory_2026-07-27\monitors\IMG_6455.jpg</x:v>
      </x:c>
    </x:row>
    <x:row r="177">
      <x:c r="A177" s="9" t="str">
        <x:v>IMG_6456.JPG</x:v>
      </x:c>
      <x:c r="B177" s="9" t="str">
        <x:v>Lenovo</x:v>
      </x:c>
      <x:c r="C177" s="9" t="str">
        <x:v>T2254pC</x:v>
      </x:c>
      <x:c r="D177" s="9" t="str">
        <x:v>60E1-MAR2-WW</x:v>
      </x:c>
      <x:c r="E177" s="9" t="str">
        <x:v>VNA21PCD</x:v>
      </x:c>
      <x:c r="F177" s="9" t="str">
        <x:v>00PC018</x:v>
      </x:c>
      <x:c r="G177" s="10" t="n">
        <x:v>42996</x:v>
      </x:c>
      <x:c r="H177" s="11" t="str">
        <x:v>High</x:v>
      </x:c>
      <x:c r="I177" s="11" t="str">
        <x:v>Ready</x:v>
      </x:c>
      <x:c r="J177" s="15" t="str"/>
      <x:c r="K177" s="15" t="str">
        <x:v>C:\Users\AlejandroAcosta\Documents\ai-workstation\work\monitor_inventory_2026-07-27\monitors\IMG_6456.JPG</x:v>
      </x:c>
    </x:row>
    <x:row r="178">
      <x:c r="A178" s="9" t="str">
        <x:v>IMG_6457.JPG</x:v>
      </x:c>
      <x:c r="B178" s="9" t="str">
        <x:v>Lenovo</x:v>
      </x:c>
      <x:c r="C178" s="9" t="str">
        <x:v>T2254pC</x:v>
      </x:c>
      <x:c r="D178" s="9" t="str">
        <x:v>60E1-MAR2-WW</x:v>
      </x:c>
      <x:c r="E178" s="9" t="str">
        <x:v>VNA26Y5F</x:v>
      </x:c>
      <x:c r="F178" s="9" t="str">
        <x:v>00PC018</x:v>
      </x:c>
      <x:c r="G178" s="10" t="n">
        <x:v>43164</x:v>
      </x:c>
      <x:c r="H178" s="11" t="str">
        <x:v>High</x:v>
      </x:c>
      <x:c r="I178" s="11" t="str">
        <x:v>Ready</x:v>
      </x:c>
      <x:c r="J178" s="15" t="str"/>
      <x:c r="K178" s="15" t="str">
        <x:v>C:\Users\AlejandroAcosta\Documents\ai-workstation\work\monitor_inventory_2026-07-27\monitors\IMG_6457.JPG</x:v>
      </x:c>
    </x:row>
    <x:row r="179">
      <x:c r="A179" s="9" t="str">
        <x:v>IMG_6458.JPG</x:v>
      </x:c>
      <x:c r="B179" s="9" t="str">
        <x:v>Lenovo</x:v>
      </x:c>
      <x:c r="C179" s="9" t="str">
        <x:v>T2254pC</x:v>
      </x:c>
      <x:c r="D179" s="9" t="str">
        <x:v>60E1-MAR2-WW</x:v>
      </x:c>
      <x:c r="E179" s="9" t="str">
        <x:v>VNA21PHB</x:v>
      </x:c>
      <x:c r="F179" s="9" t="str">
        <x:v>00PC018</x:v>
      </x:c>
      <x:c r="G179" s="10" t="n">
        <x:v>42996</x:v>
      </x:c>
      <x:c r="H179" s="11" t="str">
        <x:v>High</x:v>
      </x:c>
      <x:c r="I179" s="11" t="str">
        <x:v>Ready</x:v>
      </x:c>
      <x:c r="J179" s="15" t="str"/>
      <x:c r="K179" s="15" t="str">
        <x:v>C:\Users\AlejandroAcosta\Documents\ai-workstation\work\monitor_inventory_2026-07-27\monitors\IMG_6458.JPG</x:v>
      </x:c>
    </x:row>
    <x:row r="180">
      <x:c r="A180" s="9" t="str">
        <x:v>IMG_6459.JPG</x:v>
      </x:c>
      <x:c r="B180" s="9" t="str">
        <x:v>Lenovo</x:v>
      </x:c>
      <x:c r="C180" s="9" t="str"/>
      <x:c r="D180" s="9" t="str"/>
      <x:c r="E180" s="9" t="str">
        <x:v>V5Z20744</x:v>
      </x:c>
      <x:c r="F180" s="9" t="str"/>
      <x:c r="G180" s="10" t="n">
        <x:v>43311</x:v>
      </x:c>
      <x:c r="H180" s="11" t="str">
        <x:v>Medium</x:v>
      </x:c>
      <x:c r="I180" s="11" t="str">
        <x:v>Needs Review</x:v>
      </x:c>
      <x:c r="J180" s="15" t="str">
        <x:v>Model not confidently extracted</x:v>
      </x:c>
      <x:c r="K180" s="15" t="str">
        <x:v>C:\Users\AlejandroAcosta\Documents\ai-workstation\work\monitor_inventory_2026-07-27\monitors\IMG_6459.JPG</x:v>
      </x:c>
    </x:row>
    <x:row r="181">
      <x:c r="A181" s="9" t="str">
        <x:v>IMG_6460.JPG</x:v>
      </x:c>
      <x:c r="B181" s="9" t="str">
        <x:v>Lenovo</x:v>
      </x:c>
      <x:c r="C181" s="9" t="str">
        <x:v>T2254pC</x:v>
      </x:c>
      <x:c r="D181" s="9" t="str">
        <x:v>60E1-MAR2-WW</x:v>
      </x:c>
      <x:c r="E181" s="9" t="str">
        <x:v>VNA21PH5</x:v>
      </x:c>
      <x:c r="F181" s="9" t="str">
        <x:v>00PC018</x:v>
      </x:c>
      <x:c r="G181" s="10" t="n">
        <x:v>42996</x:v>
      </x:c>
      <x:c r="H181" s="11" t="str">
        <x:v>High</x:v>
      </x:c>
      <x:c r="I181" s="11" t="str">
        <x:v>Ready</x:v>
      </x:c>
      <x:c r="J181" s="15" t="str"/>
      <x:c r="K181" s="15" t="str">
        <x:v>C:\Users\AlejandroAcosta\Documents\ai-workstation\work\monitor_inventory_2026-07-27\monitors\IMG_6460.JPG</x:v>
      </x:c>
    </x:row>
    <x:row r="182">
      <x:c r="A182" s="9" t="str">
        <x:v>IMG_6461.JPG</x:v>
      </x:c>
      <x:c r="B182" s="9" t="str">
        <x:v>Lenovo</x:v>
      </x:c>
      <x:c r="C182" s="9" t="str">
        <x:v>T2254pC</x:v>
      </x:c>
      <x:c r="D182" s="9" t="str">
        <x:v>60E1-MAR2-WW</x:v>
      </x:c>
      <x:c r="E182" s="9" t="str">
        <x:v>VNA20MYT</x:v>
      </x:c>
      <x:c r="F182" s="9" t="str">
        <x:v>00PC018</x:v>
      </x:c>
      <x:c r="G182" s="10" t="n">
        <x:v>42961</x:v>
      </x:c>
      <x:c r="H182" s="11" t="str">
        <x:v>High</x:v>
      </x:c>
      <x:c r="I182" s="11" t="str">
        <x:v>Ready</x:v>
      </x:c>
      <x:c r="J182" s="15" t="str"/>
      <x:c r="K182" s="15" t="str">
        <x:v>C:\Users\AlejandroAcosta\Documents\ai-workstation\work\monitor_inventory_2026-07-27\monitors\IMG_6461.JPG</x:v>
      </x:c>
    </x:row>
    <x:row r="183">
      <x:c r="A183" s="9" t="str">
        <x:v>IMG_6462.jpg</x:v>
      </x:c>
      <x:c r="B183" s="9" t="str">
        <x:v>Lenovo</x:v>
      </x:c>
      <x:c r="C183" s="9" t="str">
        <x:v>T22i-10</x:v>
      </x:c>
      <x:c r="D183" s="9" t="str">
        <x:v>61A9-MAR1-WW</x:v>
      </x:c>
      <x:c r="E183" s="9" t="str">
        <x:v>V5MV8686</x:v>
      </x:c>
      <x:c r="F183" s="9" t="str">
        <x:v>00PC160</x:v>
      </x:c>
      <x:c r="G183" s="10" t="n">
        <x:v>43733</x:v>
      </x:c>
      <x:c r="H183" s="11" t="str">
        <x:v>High</x:v>
      </x:c>
      <x:c r="I183" s="11" t="str">
        <x:v>Ready</x:v>
      </x:c>
      <x:c r="J183" s="15" t="str"/>
      <x:c r="K183" s="15" t="str">
        <x:v>C:\Users\AlejandroAcosta\Documents\ai-workstation\work\monitor_inventory_2026-07-27\monitors\IMG_6462.jpg</x:v>
      </x:c>
    </x:row>
    <x:row r="184">
      <x:c r="A184" s="9" t="str">
        <x:v>IMG_6463.JPG</x:v>
      </x:c>
      <x:c r="B184" s="9" t="str">
        <x:v>Lenovo</x:v>
      </x:c>
      <x:c r="C184" s="9" t="str"/>
      <x:c r="D184" s="9" t="str"/>
      <x:c r="E184" s="9" t="str">
        <x:v>VNA21PQ2</x:v>
      </x:c>
      <x:c r="F184" s="9" t="str"/>
      <x:c r="G184" s="10"/>
      <x:c r="H184" s="11" t="str">
        <x:v>Medium</x:v>
      </x:c>
      <x:c r="I184" s="11" t="str">
        <x:v>Needs Review</x:v>
      </x:c>
      <x:c r="J184" s="15" t="str">
        <x:v>Model not confidently extracted; Manufacture date not extracted</x:v>
      </x:c>
      <x:c r="K184" s="15" t="str">
        <x:v>C:\Users\AlejandroAcosta\Documents\ai-workstation\work\monitor_inventory_2026-07-27\monitors\IMG_6463.JPG</x:v>
      </x:c>
    </x:row>
    <x:row r="185">
      <x:c r="A185" s="9" t="str">
        <x:v>IMG_6464.JPG</x:v>
      </x:c>
      <x:c r="B185" s="9" t="str">
        <x:v>Lenovo</x:v>
      </x:c>
      <x:c r="C185" s="9" t="str">
        <x:v>T2254pC</x:v>
      </x:c>
      <x:c r="D185" s="9" t="str">
        <x:v>60E1-MAR2-WW</x:v>
      </x:c>
      <x:c r="E185" s="9" t="str">
        <x:v>VNA21PGT</x:v>
      </x:c>
      <x:c r="F185" s="9" t="str">
        <x:v>00PC018</x:v>
      </x:c>
      <x:c r="G185" s="10" t="n">
        <x:v>42996</x:v>
      </x:c>
      <x:c r="H185" s="11" t="str">
        <x:v>High</x:v>
      </x:c>
      <x:c r="I185" s="11" t="str">
        <x:v>Ready</x:v>
      </x:c>
      <x:c r="J185" s="15" t="str"/>
      <x:c r="K185" s="15" t="str">
        <x:v>C:\Users\AlejandroAcosta\Documents\ai-workstation\work\monitor_inventory_2026-07-27\monitors\IMG_6464.JPG</x:v>
      </x:c>
    </x:row>
    <x:row r="186">
      <x:c r="A186" s="9" t="str">
        <x:v>IMG_6465.JPG</x:v>
      </x:c>
      <x:c r="B186" s="9" t="str">
        <x:v>Lenovo</x:v>
      </x:c>
      <x:c r="C186" s="9" t="str">
        <x:v>T2254pC</x:v>
      </x:c>
      <x:c r="D186" s="9" t="str">
        <x:v>60E1-MAR2-WW</x:v>
      </x:c>
      <x:c r="E186" s="9" t="str">
        <x:v>VNA20MKT</x:v>
      </x:c>
      <x:c r="F186" s="9" t="str">
        <x:v>00PC018</x:v>
      </x:c>
      <x:c r="G186" s="10" t="n">
        <x:v>42961</x:v>
      </x:c>
      <x:c r="H186" s="11" t="str">
        <x:v>High</x:v>
      </x:c>
      <x:c r="I186" s="11" t="str">
        <x:v>Ready</x:v>
      </x:c>
      <x:c r="J186" s="15" t="str"/>
      <x:c r="K186" s="15" t="str">
        <x:v>C:\Users\AlejandroAcosta\Documents\ai-workstation\work\monitor_inventory_2026-07-27\monitors\IMG_6465.JPG</x:v>
      </x:c>
    </x:row>
    <x:row r="187">
      <x:c r="A187" s="9" t="str">
        <x:v>IMG_6466.JPG</x:v>
      </x:c>
      <x:c r="B187" s="9" t="str">
        <x:v>Lenovo</x:v>
      </x:c>
      <x:c r="C187" s="9" t="str">
        <x:v>T22i-10</x:v>
      </x:c>
      <x:c r="D187" s="9" t="str">
        <x:v>61A9-MAR1-WW</x:v>
      </x:c>
      <x:c r="E187" s="9" t="str">
        <x:v>V5LA0109</x:v>
      </x:c>
      <x:c r="F187" s="9" t="str">
        <x:v>00PC160</x:v>
      </x:c>
      <x:c r="G187" s="10" t="n">
        <x:v>43645</x:v>
      </x:c>
      <x:c r="H187" s="11" t="str">
        <x:v>High</x:v>
      </x:c>
      <x:c r="I187" s="11" t="str">
        <x:v>Ready</x:v>
      </x:c>
      <x:c r="J187" s="15" t="str"/>
      <x:c r="K187" s="15" t="str">
        <x:v>C:\Users\AlejandroAcosta\Documents\ai-workstation\work\monitor_inventory_2026-07-27\monitors\IMG_6466.JPG</x:v>
      </x:c>
    </x:row>
    <x:row r="188">
      <x:c r="A188" s="9" t="str">
        <x:v>IMG_6467.JPG</x:v>
      </x:c>
      <x:c r="B188" s="9" t="str">
        <x:v>Lenovo</x:v>
      </x:c>
      <x:c r="C188" s="9" t="str">
        <x:v>D22238QP0</x:v>
      </x:c>
      <x:c r="D188" s="9" t="str">
        <x:v>63B3-GAR6-WW</x:v>
      </x:c>
      <x:c r="E188" s="9" t="str">
        <x:v>V9-0EF8HV</x:v>
      </x:c>
      <x:c r="F188" s="9" t="str">
        <x:v>5D11J31074</x:v>
      </x:c>
      <x:c r="G188" s="10" t="n">
        <x:v>45642</x:v>
      </x:c>
      <x:c r="H188" s="11" t="str">
        <x:v>High</x:v>
      </x:c>
      <x:c r="I188" s="11" t="str">
        <x:v>Ready</x:v>
      </x:c>
      <x:c r="J188" s="15" t="str"/>
      <x:c r="K188" s="15" t="str">
        <x:v>C:\Users\AlejandroAcosta\Documents\ai-workstation\work\monitor_inventory_2026-07-27\monitors\IMG_6467.JPG</x:v>
      </x:c>
    </x:row>
    <x:row r="189">
      <x:c r="A189" s="9" t="str">
        <x:v>IMG_6468.JPG</x:v>
      </x:c>
      <x:c r="B189" s="9" t="str">
        <x:v>Lenovo</x:v>
      </x:c>
      <x:c r="C189" s="9" t="str">
        <x:v>D22238QP0</x:v>
      </x:c>
      <x:c r="D189" s="9" t="str">
        <x:v>63B3-GAR6-WW</x:v>
      </x:c>
      <x:c r="E189" s="9" t="str">
        <x:v>V9-0EF8HM</x:v>
      </x:c>
      <x:c r="F189" s="9" t="str">
        <x:v>5D11J31074</x:v>
      </x:c>
      <x:c r="G189" s="10"/>
      <x:c r="H189" s="11" t="str">
        <x:v>High</x:v>
      </x:c>
      <x:c r="I189" s="11" t="str">
        <x:v>Needs Review</x:v>
      </x:c>
      <x:c r="J189" s="15" t="str">
        <x:v>Manufacture date not extracted</x:v>
      </x:c>
      <x:c r="K189" s="15" t="str">
        <x:v>C:\Users\AlejandroAcosta\Documents\ai-workstation\work\monitor_inventory_2026-07-27\monitors\IMG_6468.JPG</x:v>
      </x:c>
    </x:row>
    <x:row r="190">
      <x:c r="A190" s="9" t="str">
        <x:v>IMG_6469.JPG</x:v>
      </x:c>
      <x:c r="B190" s="9" t="str">
        <x:v>Lenovo</x:v>
      </x:c>
      <x:c r="C190" s="9" t="str">
        <x:v>D22238QP0</x:v>
      </x:c>
      <x:c r="D190" s="9" t="str">
        <x:v>63B3-GAR6-WW</x:v>
      </x:c>
      <x:c r="E190" s="9" t="str">
        <x:v>V9-OEF8HN</x:v>
      </x:c>
      <x:c r="F190" s="9" t="str">
        <x:v>5D11J31074</x:v>
      </x:c>
      <x:c r="G190" s="10" t="n">
        <x:v>45642</x:v>
      </x:c>
      <x:c r="H190" s="11" t="str">
        <x:v>High</x:v>
      </x:c>
      <x:c r="I190" s="11" t="str">
        <x:v>Ready</x:v>
      </x:c>
      <x:c r="J190" s="15" t="str"/>
      <x:c r="K190" s="15" t="str">
        <x:v>C:\Users\AlejandroAcosta\Documents\ai-workstation\work\monitor_inventory_2026-07-27\monitors\IMG_6469.JPG</x:v>
      </x:c>
    </x:row>
    <x:row r="191">
      <x:c r="A191" s="12" t="str">
        <x:v>IMG_E6295.JPG</x:v>
      </x:c>
      <x:c r="B191" s="12" t="str">
        <x:v>Lenovo</x:v>
      </x:c>
      <x:c r="C191" s="12" t="str">
        <x:v>D22238QP0</x:v>
      </x:c>
      <x:c r="D191" s="12" t="str">
        <x:v>63B3-GAR6-WW</x:v>
      </x:c>
      <x:c r="E191" s="12" t="str">
        <x:v>V9-0EH8FC</x:v>
      </x:c>
      <x:c r="F191" s="12" t="str">
        <x:v>5D11J31074</x:v>
      </x:c>
      <x:c r="G191" s="13"/>
      <x:c r="H191" s="14" t="str">
        <x:v>High</x:v>
      </x:c>
      <x:c r="I191" s="14" t="str">
        <x:v>Needs Review</x:v>
      </x:c>
      <x:c r="J191" s="16" t="str">
        <x:v>Manufacture date not extracted</x:v>
      </x:c>
      <x:c r="K191" s="16" t="str">
        <x:v>C:\Users\AlejandroAcosta\Documents\ai-workstation\work\monitor_inventory_2026-07-27\monitors\IMG_E6295.JPG</x:v>
      </x:c>
    </x:row>
  </x:sheetData>
  <x:conditionalFormatting sqref="I2:I191">
    <x:cfRule type="containsText" dxfId="0" priority="1" operator="containsText" text="Needs Review"/>
  </x:conditionalFormatting>
  <x:conditionalFormatting sqref="H2:H191">
    <x:cfRule type="containsText" dxfId="1" priority="2" operator="containsText" text="Low"/>
  </x:conditionalFormatting>
  <x:pageMargins left="0.7" right="0.7" top="0.75" bottom="0.75" header="0.3" footer="0.3"/>
  <x:tableParts count="1">
    <x:tablePart xmlns:r="http://schemas.openxmlformats.org/officeDocument/2006/relationships" r:id="R6609124ead4743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8" hidden="0" customWidth="1"/>
    <x:col min="4" max="4" width="18" hidden="0" customWidth="1"/>
    <x:col min="5" max="5" width="18" hidden="0" customWidth="1"/>
    <x:col min="6" max="6" width="16" hidden="0" customWidth="1"/>
    <x:col min="7" max="7" width="16" hidden="0" customWidth="1"/>
    <x:col min="8" max="8" width="12" hidden="0" customWidth="1"/>
    <x:col min="9" max="9" width="16" hidden="0" customWidth="1"/>
    <x:col min="10" max="10" width="34" hidden="0" customWidth="1"/>
    <x:col min="11" max="11" width="62" hidden="0" customWidth="1"/>
  </x:cols>
  <x:sheetData>
    <x:row r="1" ht="28" customHeight="1">
      <x:c r="A1" s="20" t="str">
        <x:v>Photo File</x:v>
      </x:c>
      <x:c r="B1" s="20" t="str">
        <x:v>Manufacturer</x:v>
      </x:c>
      <x:c r="C1" s="20" t="str">
        <x:v>Model / Type</x:v>
      </x:c>
      <x:c r="D1" s="20" t="str">
        <x:v>MTM</x:v>
      </x:c>
      <x:c r="E1" s="20" t="str">
        <x:v>Serial Number</x:v>
      </x:c>
      <x:c r="F1" s="20" t="str">
        <x:v>FRU Number</x:v>
      </x:c>
      <x:c r="G1" s="20" t="str">
        <x:v>Manufacture Date</x:v>
      </x:c>
      <x:c r="H1" s="20" t="str">
        <x:v>Confidence</x:v>
      </x:c>
      <x:c r="I1" s="20" t="str">
        <x:v>Review Status</x:v>
      </x:c>
      <x:c r="J1" s="20" t="str">
        <x:v>Review Notes</x:v>
      </x:c>
      <x:c r="K1" s="20" t="str">
        <x:v>Source Photo Path</x:v>
      </x:c>
    </x:row>
    <x:row r="2">
      <x:c r="A2" s="21" t="str">
        <x:v>IMG_6258.JPG</x:v>
      </x:c>
      <x:c r="B2" s="21" t="str">
        <x:v>Lenovo</x:v>
      </x:c>
      <x:c r="C2" s="21" t="str">
        <x:v>T2254pC</x:v>
      </x:c>
      <x:c r="D2" s="21" t="str">
        <x:v>60E1-MAR2-WW</x:v>
      </x:c>
      <x:c r="E2" s="21" t="str">
        <x:v>VNA20MK9</x:v>
      </x:c>
      <x:c r="F2" s="21" t="str">
        <x:v>00PC018</x:v>
      </x:c>
      <x:c r="G2" s="22"/>
      <x:c r="H2" s="21" t="str">
        <x:v>High</x:v>
      </x:c>
      <x:c r="I2" s="21" t="str">
        <x:v>Needs Review</x:v>
      </x:c>
      <x:c r="J2" s="25" t="str">
        <x:v>Manufacture date not extracted</x:v>
      </x:c>
      <x:c r="K2" s="25" t="str">
        <x:v>C:\Users\AlejandroAcosta\Documents\ai-workstation\work\monitor_inventory_2026-07-27\monitors\IMG_6258.JPG</x:v>
      </x:c>
    </x:row>
    <x:row r="3">
      <x:c r="A3" s="21" t="str">
        <x:v>IMG_6306.JPG</x:v>
      </x:c>
      <x:c r="B3" s="21" t="str">
        <x:v>Lenovo</x:v>
      </x:c>
      <x:c r="C3" s="21" t="str"/>
      <x:c r="D3" s="21" t="str">
        <x:v>1610-0088 EU</x:v>
      </x:c>
      <x:c r="E3" s="21" t="str">
        <x:v>V5MV8924</x:v>
      </x:c>
      <x:c r="F3" s="21" t="str">
        <x:v>OOPC160</x:v>
      </x:c>
      <x:c r="G3" s="22" t="n">
        <x:v>43733</x:v>
      </x:c>
      <x:c r="H3" s="21" t="str">
        <x:v>High</x:v>
      </x:c>
      <x:c r="I3" s="21" t="str">
        <x:v>Needs Review</x:v>
      </x:c>
      <x:c r="J3" s="25" t="str">
        <x:v>Model not confidently extracted</x:v>
      </x:c>
      <x:c r="K3" s="25" t="str">
        <x:v>C:\Users\AlejandroAcosta\Documents\ai-workstation\work\monitor_inventory_2026-07-27\monitors\IMG_6306.JPG</x:v>
      </x:c>
    </x:row>
    <x:row r="4">
      <x:c r="A4" s="21" t="str">
        <x:v>IMG_6314.JPG</x:v>
      </x:c>
      <x:c r="B4" s="21" t="str">
        <x:v>Lenovo</x:v>
      </x:c>
      <x:c r="C4" s="21" t="str">
        <x:v>T2254pC</x:v>
      </x:c>
      <x:c r="D4" s="21" t="str">
        <x:v>60E1-MAR2-WW</x:v>
      </x:c>
      <x:c r="E4" s="21" t="str">
        <x:v>VNA21P7V</x:v>
      </x:c>
      <x:c r="F4" s="21" t="str">
        <x:v>00PC018</x:v>
      </x:c>
      <x:c r="G4" s="22"/>
      <x:c r="H4" s="21" t="str">
        <x:v>High</x:v>
      </x:c>
      <x:c r="I4" s="21" t="str">
        <x:v>Needs Review</x:v>
      </x:c>
      <x:c r="J4" s="25" t="str">
        <x:v>Manufacture date not extracted</x:v>
      </x:c>
      <x:c r="K4" s="25" t="str">
        <x:v>C:\Users\AlejandroAcosta\Documents\ai-workstation\work\monitor_inventory_2026-07-27\monitors\IMG_6314.JPG</x:v>
      </x:c>
    </x:row>
    <x:row r="5">
      <x:c r="A5" s="21" t="str">
        <x:v>IMG_6318.JPG</x:v>
      </x:c>
      <x:c r="B5" s="21" t="str">
        <x:v>Lenovo</x:v>
      </x:c>
      <x:c r="C5" s="21" t="str">
        <x:v>T2254pC</x:v>
      </x:c>
      <x:c r="D5" s="21" t="str">
        <x:v>60E1-MAR2-WW</x:v>
      </x:c>
      <x:c r="E5" s="21" t="str">
        <x:v>VNA21PD8</x:v>
      </x:c>
      <x:c r="F5" s="21" t="str">
        <x:v>00PC018</x:v>
      </x:c>
      <x:c r="G5" s="22"/>
      <x:c r="H5" s="21" t="str">
        <x:v>High</x:v>
      </x:c>
      <x:c r="I5" s="21" t="str">
        <x:v>Needs Review</x:v>
      </x:c>
      <x:c r="J5" s="25" t="str">
        <x:v>Manufacture date not extracted</x:v>
      </x:c>
      <x:c r="K5" s="25" t="str">
        <x:v>C:\Users\AlejandroAcosta\Documents\ai-workstation\work\monitor_inventory_2026-07-27\monitors\IMG_6318.JPG</x:v>
      </x:c>
    </x:row>
    <x:row r="6">
      <x:c r="A6" s="21" t="str">
        <x:v>IMG_6326.JPG</x:v>
      </x:c>
      <x:c r="B6" s="21" t="str"/>
      <x:c r="C6" s="21" t="str"/>
      <x:c r="D6" s="21" t="str"/>
      <x:c r="E6" s="21" t="str"/>
      <x:c r="F6" s="21" t="str"/>
      <x:c r="G6" s="22"/>
      <x:c r="H6" s="21" t="str">
        <x:v>Low</x:v>
      </x:c>
      <x:c r="I6" s="21" t="str">
        <x:v>Needs Review</x:v>
      </x:c>
      <x:c r="J6" s="25" t="str">
        <x:v>Serial not confidently extracted; Model not confidently extracted; Manufacture date not extracted; No OCR text</x:v>
      </x:c>
      <x:c r="K6" s="25" t="str">
        <x:v>C:\Users\AlejandroAcosta\Documents\ai-workstation\work\monitor_inventory_2026-07-27\monitors\IMG_6326.JPG</x:v>
      </x:c>
    </x:row>
    <x:row r="7">
      <x:c r="A7" s="21" t="str">
        <x:v>IMG_6327.JPG</x:v>
      </x:c>
      <x:c r="B7" s="21" t="str">
        <x:v>Lenovo</x:v>
      </x:c>
      <x:c r="C7" s="21" t="str">
        <x:v>T2254pC</x:v>
      </x:c>
      <x:c r="D7" s="21" t="str">
        <x:v>60E1-MAR2-WW</x:v>
      </x:c>
      <x:c r="E7" s="21" t="str">
        <x:v>VNA21PF6</x:v>
      </x:c>
      <x:c r="F7" s="21" t="str">
        <x:v>00PC018</x:v>
      </x:c>
      <x:c r="G7" s="22"/>
      <x:c r="H7" s="21" t="str">
        <x:v>High</x:v>
      </x:c>
      <x:c r="I7" s="21" t="str">
        <x:v>Needs Review</x:v>
      </x:c>
      <x:c r="J7" s="25" t="str">
        <x:v>Manufacture date not extracted</x:v>
      </x:c>
      <x:c r="K7" s="25" t="str">
        <x:v>C:\Users\AlejandroAcosta\Documents\ai-workstation\work\monitor_inventory_2026-07-27\monitors\IMG_6327.JPG</x:v>
      </x:c>
    </x:row>
    <x:row r="8">
      <x:c r="A8" s="21" t="str">
        <x:v>IMG_6336.JPG</x:v>
      </x:c>
      <x:c r="B8" s="21" t="str">
        <x:v>Lenovo</x:v>
      </x:c>
      <x:c r="C8" s="21" t="str">
        <x:v>T22i-10</x:v>
      </x:c>
      <x:c r="D8" s="21" t="str">
        <x:v>61A9-MAR1-WW</x:v>
      </x:c>
      <x:c r="E8" s="21" t="str">
        <x:v>V5MV8684</x:v>
      </x:c>
      <x:c r="F8" s="21" t="str">
        <x:v>00PC160</x:v>
      </x:c>
      <x:c r="G8" s="22"/>
      <x:c r="H8" s="21" t="str">
        <x:v>High</x:v>
      </x:c>
      <x:c r="I8" s="21" t="str">
        <x:v>Needs Review</x:v>
      </x:c>
      <x:c r="J8" s="25" t="str">
        <x:v>Manufacture date not extracted</x:v>
      </x:c>
      <x:c r="K8" s="25" t="str">
        <x:v>C:\Users\AlejandroAcosta\Documents\ai-workstation\work\monitor_inventory_2026-07-27\monitors\IMG_6336.JPG</x:v>
      </x:c>
    </x:row>
    <x:row r="9">
      <x:c r="A9" s="21" t="str">
        <x:v>IMG_6350.JPG</x:v>
      </x:c>
      <x:c r="B9" s="21" t="str">
        <x:v>Lenovo</x:v>
      </x:c>
      <x:c r="C9" s="21" t="str">
        <x:v>T2254pC</x:v>
      </x:c>
      <x:c r="D9" s="21" t="str">
        <x:v>60E1-MAR2-WW</x:v>
      </x:c>
      <x:c r="E9" s="21" t="str">
        <x:v>VNA21PH7</x:v>
      </x:c>
      <x:c r="F9" s="21" t="str">
        <x:v>00PC018</x:v>
      </x:c>
      <x:c r="G9" s="22"/>
      <x:c r="H9" s="21" t="str">
        <x:v>High</x:v>
      </x:c>
      <x:c r="I9" s="21" t="str">
        <x:v>Needs Review</x:v>
      </x:c>
      <x:c r="J9" s="25" t="str">
        <x:v>Manufacture date not extracted</x:v>
      </x:c>
      <x:c r="K9" s="25" t="str">
        <x:v>C:\Users\AlejandroAcosta\Documents\ai-workstation\work\monitor_inventory_2026-07-27\monitors\IMG_6350.JPG</x:v>
      </x:c>
    </x:row>
    <x:row r="10">
      <x:c r="A10" s="21" t="str">
        <x:v>IMG_6354.JPG</x:v>
      </x:c>
      <x:c r="B10" s="21" t="str">
        <x:v>Lenovo</x:v>
      </x:c>
      <x:c r="C10" s="21" t="str">
        <x:v>T22i-10</x:v>
      </x:c>
      <x:c r="D10" s="21" t="str">
        <x:v>61A9-MAR1-WW</x:v>
      </x:c>
      <x:c r="E10" s="21" t="str">
        <x:v>V5Z20759</x:v>
      </x:c>
      <x:c r="F10" s="21" t="str">
        <x:v>00PC160</x:v>
      </x:c>
      <x:c r="G10" s="22"/>
      <x:c r="H10" s="21" t="str">
        <x:v>High</x:v>
      </x:c>
      <x:c r="I10" s="21" t="str">
        <x:v>Needs Review</x:v>
      </x:c>
      <x:c r="J10" s="25" t="str">
        <x:v>Manufacture date not extracted</x:v>
      </x:c>
      <x:c r="K10" s="25" t="str">
        <x:v>C:\Users\AlejandroAcosta\Documents\ai-workstation\work\monitor_inventory_2026-07-27\monitors\IMG_6354.JPG</x:v>
      </x:c>
    </x:row>
    <x:row r="11">
      <x:c r="A11" s="21" t="str">
        <x:v>IMG_6375.JPG</x:v>
      </x:c>
      <x:c r="B11" s="21" t="str">
        <x:v>Lenovo</x:v>
      </x:c>
      <x:c r="C11" s="21" t="str"/>
      <x:c r="D11" s="21" t="str"/>
      <x:c r="E11" s="21" t="str">
        <x:v>VNA20MYX</x:v>
      </x:c>
      <x:c r="F11" s="21" t="str"/>
      <x:c r="G11" s="22"/>
      <x:c r="H11" s="21" t="str">
        <x:v>Medium</x:v>
      </x:c>
      <x:c r="I11" s="21" t="str">
        <x:v>Needs Review</x:v>
      </x:c>
      <x:c r="J11" s="25" t="str">
        <x:v>Model not confidently extracted; Manufacture date not extracted</x:v>
      </x:c>
      <x:c r="K11" s="25" t="str">
        <x:v>C:\Users\AlejandroAcosta\Documents\ai-workstation\work\monitor_inventory_2026-07-27\monitors\IMG_6375.JPG</x:v>
      </x:c>
    </x:row>
    <x:row r="12">
      <x:c r="A12" s="21" t="str">
        <x:v>IMG_6376.JPG</x:v>
      </x:c>
      <x:c r="B12" s="21" t="str">
        <x:v>Lenovo</x:v>
      </x:c>
      <x:c r="C12" s="21" t="str"/>
      <x:c r="D12" s="21" t="str"/>
      <x:c r="E12" s="21" t="str">
        <x:v>VNA21PQ1</x:v>
      </x:c>
      <x:c r="F12" s="21" t="str"/>
      <x:c r="G12" s="22"/>
      <x:c r="H12" s="21" t="str">
        <x:v>Medium</x:v>
      </x:c>
      <x:c r="I12" s="21" t="str">
        <x:v>Needs Review</x:v>
      </x:c>
      <x:c r="J12" s="25" t="str">
        <x:v>Model not confidently extracted; Manufacture date not extracted</x:v>
      </x:c>
      <x:c r="K12" s="25" t="str">
        <x:v>C:\Users\AlejandroAcosta\Documents\ai-workstation\work\monitor_inventory_2026-07-27\monitors\IMG_6376.JPG</x:v>
      </x:c>
    </x:row>
    <x:row r="13">
      <x:c r="A13" s="21" t="str">
        <x:v>IMG_6383.JPG</x:v>
      </x:c>
      <x:c r="B13" s="21" t="str">
        <x:v>Lenovo</x:v>
      </x:c>
      <x:c r="C13" s="21" t="str"/>
      <x:c r="D13" s="21" t="str"/>
      <x:c r="E13" s="21" t="str"/>
      <x:c r="F13" s="21" t="str"/>
      <x:c r="G13" s="22"/>
      <x:c r="H13" s="21" t="str">
        <x:v>Low</x:v>
      </x:c>
      <x:c r="I13" s="21" t="str">
        <x:v>Needs Review</x:v>
      </x:c>
      <x:c r="J13" s="25" t="str">
        <x:v>Serial not confidently extracted; Model not confidently extracted; Manufacture date not extracted</x:v>
      </x:c>
      <x:c r="K13" s="25" t="str">
        <x:v>C:\Users\AlejandroAcosta\Documents\ai-workstation\work\monitor_inventory_2026-07-27\monitors\IMG_6383.JPG</x:v>
      </x:c>
    </x:row>
    <x:row r="14">
      <x:c r="A14" s="21" t="str">
        <x:v>IMG_6387.JPG</x:v>
      </x:c>
      <x:c r="B14" s="21" t="str">
        <x:v>Lenovo</x:v>
      </x:c>
      <x:c r="C14" s="21" t="str"/>
      <x:c r="D14" s="21" t="str"/>
      <x:c r="E14" s="21" t="str">
        <x:v>V5LA0027</x:v>
      </x:c>
      <x:c r="F14" s="21" t="str">
        <x:v>ooecieo</x:v>
      </x:c>
      <x:c r="G14" s="22"/>
      <x:c r="H14" s="21" t="str">
        <x:v>Medium</x:v>
      </x:c>
      <x:c r="I14" s="21" t="str">
        <x:v>Needs Review</x:v>
      </x:c>
      <x:c r="J14" s="25" t="str">
        <x:v>Model not confidently extracted; Manufacture date not extracted</x:v>
      </x:c>
      <x:c r="K14" s="25" t="str">
        <x:v>C:\Users\AlejandroAcosta\Documents\ai-workstation\work\monitor_inventory_2026-07-27\monitors\IMG_6387.JPG</x:v>
      </x:c>
    </x:row>
    <x:row r="15">
      <x:c r="A15" s="21" t="str">
        <x:v>IMG_6389.JPG</x:v>
      </x:c>
      <x:c r="B15" s="21" t="str">
        <x:v>Lenovo</x:v>
      </x:c>
      <x:c r="C15" s="21" t="str">
        <x:v>T2254pC</x:v>
      </x:c>
      <x:c r="D15" s="21" t="str">
        <x:v>60E1-MAR2-WW</x:v>
      </x:c>
      <x:c r="E15" s="21" t="str">
        <x:v>VNA21PQV</x:v>
      </x:c>
      <x:c r="F15" s="21" t="str">
        <x:v>00PC018</x:v>
      </x:c>
      <x:c r="G15" s="22"/>
      <x:c r="H15" s="21" t="str">
        <x:v>High</x:v>
      </x:c>
      <x:c r="I15" s="21" t="str">
        <x:v>Needs Review</x:v>
      </x:c>
      <x:c r="J15" s="25" t="str">
        <x:v>Manufacture date not extracted</x:v>
      </x:c>
      <x:c r="K15" s="25" t="str">
        <x:v>C:\Users\AlejandroAcosta\Documents\ai-workstation\work\monitor_inventory_2026-07-27\monitors\IMG_6389.JPG</x:v>
      </x:c>
    </x:row>
    <x:row r="16">
      <x:c r="A16" s="21" t="str">
        <x:v>IMG_6393.JPG</x:v>
      </x:c>
      <x:c r="B16" s="21" t="str">
        <x:v>Lenovo</x:v>
      </x:c>
      <x:c r="C16" s="21" t="str"/>
      <x:c r="D16" s="21" t="str"/>
      <x:c r="E16" s="21" t="str"/>
      <x:c r="F16" s="21" t="str"/>
      <x:c r="G16" s="22"/>
      <x:c r="H16" s="21" t="str">
        <x:v>Low</x:v>
      </x:c>
      <x:c r="I16" s="21" t="str">
        <x:v>Needs Review</x:v>
      </x:c>
      <x:c r="J16" s="25" t="str">
        <x:v>Serial not confidently extracted; Model not confidently extracted; Manufacture date not extracted</x:v>
      </x:c>
      <x:c r="K16" s="25" t="str">
        <x:v>C:\Users\AlejandroAcosta\Documents\ai-workstation\work\monitor_inventory_2026-07-27\monitors\IMG_6393.JPG</x:v>
      </x:c>
    </x:row>
    <x:row r="17">
      <x:c r="A17" s="21" t="str">
        <x:v>IMG_6397.JPG</x:v>
      </x:c>
      <x:c r="B17" s="21" t="str">
        <x:v>Lenovo</x:v>
      </x:c>
      <x:c r="C17" s="21" t="str"/>
      <x:c r="D17" s="21" t="str"/>
      <x:c r="E17" s="21" t="str">
        <x:v>VNA20MRL</x:v>
      </x:c>
      <x:c r="F17" s="21" t="str"/>
      <x:c r="G17" s="22"/>
      <x:c r="H17" s="21" t="str">
        <x:v>Medium</x:v>
      </x:c>
      <x:c r="I17" s="21" t="str">
        <x:v>Needs Review</x:v>
      </x:c>
      <x:c r="J17" s="25" t="str">
        <x:v>Model not confidently extracted; Manufacture date not extracted</x:v>
      </x:c>
      <x:c r="K17" s="25" t="str">
        <x:v>C:\Users\AlejandroAcosta\Documents\ai-workstation\work\monitor_inventory_2026-07-27\monitors\IMG_6397.JPG</x:v>
      </x:c>
    </x:row>
    <x:row r="18">
      <x:c r="A18" s="21" t="str">
        <x:v>IMG_6401.JPG</x:v>
      </x:c>
      <x:c r="B18" s="21" t="str">
        <x:v>Lenovo</x:v>
      </x:c>
      <x:c r="C18" s="21" t="str"/>
      <x:c r="D18" s="21" t="str"/>
      <x:c r="E18" s="21" t="str">
        <x:v>VNA21PN1</x:v>
      </x:c>
      <x:c r="F18" s="21" t="str"/>
      <x:c r="G18" s="22"/>
      <x:c r="H18" s="21" t="str">
        <x:v>Medium</x:v>
      </x:c>
      <x:c r="I18" s="21" t="str">
        <x:v>Needs Review</x:v>
      </x:c>
      <x:c r="J18" s="25" t="str">
        <x:v>Model not confidently extracted; Manufacture date not extracted</x:v>
      </x:c>
      <x:c r="K18" s="25" t="str">
        <x:v>C:\Users\AlejandroAcosta\Documents\ai-workstation\work\monitor_inventory_2026-07-27\monitors\IMG_6401.JPG</x:v>
      </x:c>
    </x:row>
    <x:row r="19">
      <x:c r="A19" s="21" t="str">
        <x:v>IMG_6402.JPG</x:v>
      </x:c>
      <x:c r="B19" s="21" t="str">
        <x:v>Lenovo</x:v>
      </x:c>
      <x:c r="C19" s="21" t="str">
        <x:v>T2254pC</x:v>
      </x:c>
      <x:c r="D19" s="21" t="str">
        <x:v>60E1-MAR2-WW</x:v>
      </x:c>
      <x:c r="E19" s="21" t="str">
        <x:v>VNA26FMM</x:v>
      </x:c>
      <x:c r="F19" s="21" t="str">
        <x:v>00PC018</x:v>
      </x:c>
      <x:c r="G19" s="22"/>
      <x:c r="H19" s="21" t="str">
        <x:v>High</x:v>
      </x:c>
      <x:c r="I19" s="21" t="str">
        <x:v>Needs Review</x:v>
      </x:c>
      <x:c r="J19" s="25" t="str">
        <x:v>Manufacture date not extracted</x:v>
      </x:c>
      <x:c r="K19" s="25" t="str">
        <x:v>C:\Users\AlejandroAcosta\Documents\ai-workstation\work\monitor_inventory_2026-07-27\monitors\IMG_6402.JPG</x:v>
      </x:c>
    </x:row>
    <x:row r="20">
      <x:c r="A20" s="21" t="str">
        <x:v>IMG_6403.JPG</x:v>
      </x:c>
      <x:c r="B20" s="21" t="str">
        <x:v>Lenovo</x:v>
      </x:c>
      <x:c r="C20" s="21" t="str"/>
      <x:c r="D20" s="21" t="str">
        <x:v>60Et.MAR2.WW</x:v>
      </x:c>
      <x:c r="E20" s="21" t="str">
        <x:v>VNA20MKP</x:v>
      </x:c>
      <x:c r="F20" s="21" t="str"/>
      <x:c r="G20" s="22"/>
      <x:c r="H20" s="21" t="str">
        <x:v>Medium</x:v>
      </x:c>
      <x:c r="I20" s="21" t="str">
        <x:v>Needs Review</x:v>
      </x:c>
      <x:c r="J20" s="25" t="str">
        <x:v>Model not confidently extracted; Manufacture date not extracted</x:v>
      </x:c>
      <x:c r="K20" s="25" t="str">
        <x:v>C:\Users\AlejandroAcosta\Documents\ai-workstation\work\monitor_inventory_2026-07-27\monitors\IMG_6403.JPG</x:v>
      </x:c>
    </x:row>
    <x:row r="21">
      <x:c r="A21" s="21" t="str">
        <x:v>IMG_6404.JPG</x:v>
      </x:c>
      <x:c r="B21" s="21" t="str">
        <x:v>Lenovo</x:v>
      </x:c>
      <x:c r="C21" s="21" t="str"/>
      <x:c r="D21" s="21" t="str"/>
      <x:c r="E21" s="21" t="str"/>
      <x:c r="F21" s="21" t="str"/>
      <x:c r="G21" s="22"/>
      <x:c r="H21" s="21" t="str">
        <x:v>Low</x:v>
      </x:c>
      <x:c r="I21" s="21" t="str">
        <x:v>Needs Review</x:v>
      </x:c>
      <x:c r="J21" s="25" t="str">
        <x:v>Serial not confidently extracted; Model not confidently extracted; Manufacture date not extracted</x:v>
      </x:c>
      <x:c r="K21" s="25" t="str">
        <x:v>C:\Users\AlejandroAcosta\Documents\ai-workstation\work\monitor_inventory_2026-07-27\monitors\IMG_6404.JPG</x:v>
      </x:c>
    </x:row>
    <x:row r="22">
      <x:c r="A22" s="21" t="str">
        <x:v>IMG_6405.JPG</x:v>
      </x:c>
      <x:c r="B22" s="21" t="str">
        <x:v>Lenovo</x:v>
      </x:c>
      <x:c r="C22" s="21" t="str">
        <x:v>T2254pC</x:v>
      </x:c>
      <x:c r="D22" s="21" t="str">
        <x:v>60E1-MAR2-WW</x:v>
      </x:c>
      <x:c r="E22" s="21" t="str">
        <x:v>VNA21PC7</x:v>
      </x:c>
      <x:c r="F22" s="21" t="str">
        <x:v>00PC018</x:v>
      </x:c>
      <x:c r="G22" s="22"/>
      <x:c r="H22" s="21" t="str">
        <x:v>High</x:v>
      </x:c>
      <x:c r="I22" s="21" t="str">
        <x:v>Needs Review</x:v>
      </x:c>
      <x:c r="J22" s="25" t="str">
        <x:v>Manufacture date not extracted</x:v>
      </x:c>
      <x:c r="K22" s="25" t="str">
        <x:v>C:\Users\AlejandroAcosta\Documents\ai-workstation\work\monitor_inventory_2026-07-27\monitors\IMG_6405.JPG</x:v>
      </x:c>
    </x:row>
    <x:row r="23">
      <x:c r="A23" s="21" t="str">
        <x:v>IMG_6408.JPG</x:v>
      </x:c>
      <x:c r="B23" s="21" t="str"/>
      <x:c r="C23" s="21" t="str"/>
      <x:c r="D23" s="21" t="str"/>
      <x:c r="E23" s="21" t="str"/>
      <x:c r="F23" s="21" t="str"/>
      <x:c r="G23" s="22"/>
      <x:c r="H23" s="21" t="str">
        <x:v>Low</x:v>
      </x:c>
      <x:c r="I23" s="21" t="str">
        <x:v>Needs Review</x:v>
      </x:c>
      <x:c r="J23" s="25" t="str">
        <x:v>Serial not confidently extracted; Model not confidently extracted; Manufacture date not extracted; No OCR text</x:v>
      </x:c>
      <x:c r="K23" s="25" t="str">
        <x:v>C:\Users\AlejandroAcosta\Documents\ai-workstation\work\monitor_inventory_2026-07-27\monitors\IMG_6408.JPG</x:v>
      </x:c>
    </x:row>
    <x:row r="24">
      <x:c r="A24" s="21" t="str">
        <x:v>IMG_6410.JPG</x:v>
      </x:c>
      <x:c r="B24" s="21" t="str">
        <x:v>Lenovo</x:v>
      </x:c>
      <x:c r="C24" s="21" t="str"/>
      <x:c r="D24" s="21" t="str"/>
      <x:c r="E24" s="21" t="str">
        <x:v>VNA21PA9</x:v>
      </x:c>
      <x:c r="F24" s="21" t="str"/>
      <x:c r="G24" s="22"/>
      <x:c r="H24" s="21" t="str">
        <x:v>Medium</x:v>
      </x:c>
      <x:c r="I24" s="21" t="str">
        <x:v>Needs Review</x:v>
      </x:c>
      <x:c r="J24" s="25" t="str">
        <x:v>Model not confidently extracted; Manufacture date not extracted</x:v>
      </x:c>
      <x:c r="K24" s="25" t="str">
        <x:v>C:\Users\AlejandroAcosta\Documents\ai-workstation\work\monitor_inventory_2026-07-27\monitors\IMG_6410.JPG</x:v>
      </x:c>
    </x:row>
    <x:row r="25">
      <x:c r="A25" s="21" t="str">
        <x:v>IMG_6411.JPG</x:v>
      </x:c>
      <x:c r="B25" s="21" t="str">
        <x:v>Lenovo</x:v>
      </x:c>
      <x:c r="C25" s="21" t="str"/>
      <x:c r="D25" s="21" t="str"/>
      <x:c r="E25" s="21" t="str">
        <x:v>VNA26G98</x:v>
      </x:c>
      <x:c r="F25" s="21" t="str"/>
      <x:c r="G25" s="22"/>
      <x:c r="H25" s="21" t="str">
        <x:v>Medium</x:v>
      </x:c>
      <x:c r="I25" s="21" t="str">
        <x:v>Needs Review</x:v>
      </x:c>
      <x:c r="J25" s="25" t="str">
        <x:v>Model not confidently extracted; Manufacture date not extracted</x:v>
      </x:c>
      <x:c r="K25" s="25" t="str">
        <x:v>C:\Users\AlejandroAcosta\Documents\ai-workstation\work\monitor_inventory_2026-07-27\monitors\IMG_6411.JPG</x:v>
      </x:c>
    </x:row>
    <x:row r="26">
      <x:c r="A26" s="21" t="str">
        <x:v>IMG_6416.JPG</x:v>
      </x:c>
      <x:c r="B26" s="21" t="str">
        <x:v>Lenovo</x:v>
      </x:c>
      <x:c r="C26" s="21" t="str"/>
      <x:c r="D26" s="21" t="str"/>
      <x:c r="E26" s="21" t="str">
        <x:v>VNA21PMN</x:v>
      </x:c>
      <x:c r="F26" s="21" t="str"/>
      <x:c r="G26" s="22" t="n">
        <x:v>42996</x:v>
      </x:c>
      <x:c r="H26" s="21" t="str">
        <x:v>Medium</x:v>
      </x:c>
      <x:c r="I26" s="21" t="str">
        <x:v>Needs Review</x:v>
      </x:c>
      <x:c r="J26" s="25" t="str">
        <x:v>Model not confidently extracted</x:v>
      </x:c>
      <x:c r="K26" s="25" t="str">
        <x:v>C:\Users\AlejandroAcosta\Documents\ai-workstation\work\monitor_inventory_2026-07-27\monitors\IMG_6416.JPG</x:v>
      </x:c>
    </x:row>
    <x:row r="27">
      <x:c r="A27" s="21" t="str">
        <x:v>IMG_6420.JPG</x:v>
      </x:c>
      <x:c r="B27" s="21" t="str">
        <x:v>Lenovo</x:v>
      </x:c>
      <x:c r="C27" s="21" t="str">
        <x:v>T2254pC</x:v>
      </x:c>
      <x:c r="D27" s="21" t="str">
        <x:v>60E1-MAR2-WW</x:v>
      </x:c>
      <x:c r="E27" s="21" t="str">
        <x:v>VNA20HBH</x:v>
      </x:c>
      <x:c r="F27" s="21" t="str">
        <x:v>00PC018</x:v>
      </x:c>
      <x:c r="G27" s="22"/>
      <x:c r="H27" s="21" t="str">
        <x:v>High</x:v>
      </x:c>
      <x:c r="I27" s="21" t="str">
        <x:v>Needs Review</x:v>
      </x:c>
      <x:c r="J27" s="25" t="str">
        <x:v>Manufacture date not extracted</x:v>
      </x:c>
      <x:c r="K27" s="25" t="str">
        <x:v>C:\Users\AlejandroAcosta\Documents\ai-workstation\work\monitor_inventory_2026-07-27\monitors\IMG_6420.JPG</x:v>
      </x:c>
    </x:row>
    <x:row r="28">
      <x:c r="A28" s="21" t="str">
        <x:v>IMG_6424.JPG</x:v>
      </x:c>
      <x:c r="B28" s="21" t="str">
        <x:v>Lenovo</x:v>
      </x:c>
      <x:c r="C28" s="21" t="str"/>
      <x:c r="D28" s="21" t="str"/>
      <x:c r="E28" s="21" t="str">
        <x:v>VNA21PCK</x:v>
      </x:c>
      <x:c r="F28" s="21" t="str"/>
      <x:c r="G28" s="22"/>
      <x:c r="H28" s="21" t="str">
        <x:v>Medium</x:v>
      </x:c>
      <x:c r="I28" s="21" t="str">
        <x:v>Needs Review</x:v>
      </x:c>
      <x:c r="J28" s="25" t="str">
        <x:v>Model not confidently extracted; Manufacture date not extracted</x:v>
      </x:c>
      <x:c r="K28" s="25" t="str">
        <x:v>C:\Users\AlejandroAcosta\Documents\ai-workstation\work\monitor_inventory_2026-07-27\monitors\IMG_6424.JPG</x:v>
      </x:c>
    </x:row>
    <x:row r="29">
      <x:c r="A29" s="21" t="str">
        <x:v>IMG_6429.jpg</x:v>
      </x:c>
      <x:c r="B29" s="21" t="str">
        <x:v>Lenovo</x:v>
      </x:c>
      <x:c r="C29" s="21" t="str">
        <x:v>T22i-10</x:v>
      </x:c>
      <x:c r="D29" s="21" t="str">
        <x:v>61A9-MAR1-WW</x:v>
      </x:c>
      <x:c r="E29" s="21" t="str">
        <x:v>V5WN8159</x:v>
      </x:c>
      <x:c r="F29" s="21" t="str">
        <x:v>00PC160</x:v>
      </x:c>
      <x:c r="G29" s="22"/>
      <x:c r="H29" s="21" t="str">
        <x:v>High</x:v>
      </x:c>
      <x:c r="I29" s="21" t="str">
        <x:v>Needs Review</x:v>
      </x:c>
      <x:c r="J29" s="25" t="str">
        <x:v>Manufacture date not extracted</x:v>
      </x:c>
      <x:c r="K29" s="25" t="str">
        <x:v>C:\Users\AlejandroAcosta\Documents\ai-workstation\work\monitor_inventory_2026-07-27\monitors\IMG_6429.jpg</x:v>
      </x:c>
    </x:row>
    <x:row r="30">
      <x:c r="A30" s="21" t="str">
        <x:v>IMG_6430.jpg</x:v>
      </x:c>
      <x:c r="B30" s="21" t="str">
        <x:v>Lenovo</x:v>
      </x:c>
      <x:c r="C30" s="21" t="str">
        <x:v>T2254pC</x:v>
      </x:c>
      <x:c r="D30" s="21" t="str">
        <x:v>60E1-MAR2-WW</x:v>
      </x:c>
      <x:c r="E30" s="21" t="str">
        <x:v>VNA21PH3</x:v>
      </x:c>
      <x:c r="F30" s="21" t="str">
        <x:v>00PC018</x:v>
      </x:c>
      <x:c r="G30" s="22"/>
      <x:c r="H30" s="21" t="str">
        <x:v>High</x:v>
      </x:c>
      <x:c r="I30" s="21" t="str">
        <x:v>Needs Review</x:v>
      </x:c>
      <x:c r="J30" s="25" t="str">
        <x:v>Manufacture date not extracted</x:v>
      </x:c>
      <x:c r="K30" s="25" t="str">
        <x:v>C:\Users\AlejandroAcosta\Documents\ai-workstation\work\monitor_inventory_2026-07-27\monitors\IMG_6430.jpg</x:v>
      </x:c>
    </x:row>
    <x:row r="31">
      <x:c r="A31" s="21" t="str">
        <x:v>IMG_6442.JPG</x:v>
      </x:c>
      <x:c r="B31" s="21" t="str">
        <x:v>Lenovo</x:v>
      </x:c>
      <x:c r="C31" s="21" t="str"/>
      <x:c r="D31" s="21" t="str"/>
      <x:c r="E31" s="21" t="str">
        <x:v>VNA21PHD</x:v>
      </x:c>
      <x:c r="F31" s="21" t="str"/>
      <x:c r="G31" s="22"/>
      <x:c r="H31" s="21" t="str">
        <x:v>Medium</x:v>
      </x:c>
      <x:c r="I31" s="21" t="str">
        <x:v>Needs Review</x:v>
      </x:c>
      <x:c r="J31" s="25" t="str">
        <x:v>Model not confidently extracted; Manufacture date not extracted</x:v>
      </x:c>
      <x:c r="K31" s="25" t="str">
        <x:v>C:\Users\AlejandroAcosta\Documents\ai-workstation\work\monitor_inventory_2026-07-27\monitors\IMG_6442.JPG</x:v>
      </x:c>
    </x:row>
    <x:row r="32">
      <x:c r="A32" s="21" t="str">
        <x:v>IMG_6445.JPG</x:v>
      </x:c>
      <x:c r="B32" s="21" t="str">
        <x:v>Lenovo</x:v>
      </x:c>
      <x:c r="C32" s="21" t="str"/>
      <x:c r="D32" s="21" t="str"/>
      <x:c r="E32" s="21" t="str">
        <x:v>VNA20MK6</x:v>
      </x:c>
      <x:c r="F32" s="21" t="str"/>
      <x:c r="G32" s="22"/>
      <x:c r="H32" s="21" t="str">
        <x:v>Medium</x:v>
      </x:c>
      <x:c r="I32" s="21" t="str">
        <x:v>Needs Review</x:v>
      </x:c>
      <x:c r="J32" s="25" t="str">
        <x:v>Model not confidently extracted; Manufacture date not extracted</x:v>
      </x:c>
      <x:c r="K32" s="25" t="str">
        <x:v>C:\Users\AlejandroAcosta\Documents\ai-workstation\work\monitor_inventory_2026-07-27\monitors\IMG_6445.JPG</x:v>
      </x:c>
    </x:row>
    <x:row r="33">
      <x:c r="A33" s="21" t="str">
        <x:v>IMG_6448.JPG</x:v>
      </x:c>
      <x:c r="B33" s="21" t="str">
        <x:v>Lenovo</x:v>
      </x:c>
      <x:c r="C33" s="21" t="str"/>
      <x:c r="D33" s="21" t="str"/>
      <x:c r="E33" s="21" t="str"/>
      <x:c r="F33" s="21" t="str"/>
      <x:c r="G33" s="22"/>
      <x:c r="H33" s="21" t="str">
        <x:v>Low</x:v>
      </x:c>
      <x:c r="I33" s="21" t="str">
        <x:v>Needs Review</x:v>
      </x:c>
      <x:c r="J33" s="25" t="str">
        <x:v>Serial not confidently extracted; Model not confidently extracted; Manufacture date not extracted</x:v>
      </x:c>
      <x:c r="K33" s="25" t="str">
        <x:v>C:\Users\AlejandroAcosta\Documents\ai-workstation\work\monitor_inventory_2026-07-27\monitors\IMG_6448.JPG</x:v>
      </x:c>
    </x:row>
    <x:row r="34">
      <x:c r="A34" s="21" t="str">
        <x:v>IMG_6459.JPG</x:v>
      </x:c>
      <x:c r="B34" s="21" t="str">
        <x:v>Lenovo</x:v>
      </x:c>
      <x:c r="C34" s="21" t="str"/>
      <x:c r="D34" s="21" t="str"/>
      <x:c r="E34" s="21" t="str">
        <x:v>V5Z20744</x:v>
      </x:c>
      <x:c r="F34" s="21" t="str"/>
      <x:c r="G34" s="22" t="n">
        <x:v>43311</x:v>
      </x:c>
      <x:c r="H34" s="21" t="str">
        <x:v>Medium</x:v>
      </x:c>
      <x:c r="I34" s="21" t="str">
        <x:v>Needs Review</x:v>
      </x:c>
      <x:c r="J34" s="25" t="str">
        <x:v>Model not confidently extracted</x:v>
      </x:c>
      <x:c r="K34" s="25" t="str">
        <x:v>C:\Users\AlejandroAcosta\Documents\ai-workstation\work\monitor_inventory_2026-07-27\monitors\IMG_6459.JPG</x:v>
      </x:c>
    </x:row>
    <x:row r="35">
      <x:c r="A35" s="21" t="str">
        <x:v>IMG_6463.JPG</x:v>
      </x:c>
      <x:c r="B35" s="21" t="str">
        <x:v>Lenovo</x:v>
      </x:c>
      <x:c r="C35" s="21" t="str"/>
      <x:c r="D35" s="21" t="str"/>
      <x:c r="E35" s="21" t="str">
        <x:v>VNA21PQ2</x:v>
      </x:c>
      <x:c r="F35" s="21" t="str"/>
      <x:c r="G35" s="22"/>
      <x:c r="H35" s="21" t="str">
        <x:v>Medium</x:v>
      </x:c>
      <x:c r="I35" s="21" t="str">
        <x:v>Needs Review</x:v>
      </x:c>
      <x:c r="J35" s="25" t="str">
        <x:v>Model not confidently extracted; Manufacture date not extracted</x:v>
      </x:c>
      <x:c r="K35" s="25" t="str">
        <x:v>C:\Users\AlejandroAcosta\Documents\ai-workstation\work\monitor_inventory_2026-07-27\monitors\IMG_6463.JPG</x:v>
      </x:c>
    </x:row>
    <x:row r="36">
      <x:c r="A36" s="21" t="str">
        <x:v>IMG_6468.JPG</x:v>
      </x:c>
      <x:c r="B36" s="21" t="str">
        <x:v>Lenovo</x:v>
      </x:c>
      <x:c r="C36" s="21" t="str">
        <x:v>D22238QP0</x:v>
      </x:c>
      <x:c r="D36" s="21" t="str">
        <x:v>63B3-GAR6-WW</x:v>
      </x:c>
      <x:c r="E36" s="21" t="str">
        <x:v>V9-0EF8HM</x:v>
      </x:c>
      <x:c r="F36" s="21" t="str">
        <x:v>5D11J31074</x:v>
      </x:c>
      <x:c r="G36" s="22"/>
      <x:c r="H36" s="21" t="str">
        <x:v>High</x:v>
      </x:c>
      <x:c r="I36" s="21" t="str">
        <x:v>Needs Review</x:v>
      </x:c>
      <x:c r="J36" s="25" t="str">
        <x:v>Manufacture date not extracted</x:v>
      </x:c>
      <x:c r="K36" s="25" t="str">
        <x:v>C:\Users\AlejandroAcosta\Documents\ai-workstation\work\monitor_inventory_2026-07-27\monitors\IMG_6468.JPG</x:v>
      </x:c>
    </x:row>
    <x:row r="37">
      <x:c r="A37" s="23" t="str">
        <x:v>IMG_E6295.JPG</x:v>
      </x:c>
      <x:c r="B37" s="23" t="str">
        <x:v>Lenovo</x:v>
      </x:c>
      <x:c r="C37" s="23" t="str">
        <x:v>D22238QP0</x:v>
      </x:c>
      <x:c r="D37" s="23" t="str">
        <x:v>63B3-GAR6-WW</x:v>
      </x:c>
      <x:c r="E37" s="23" t="str">
        <x:v>V9-0EH8FC</x:v>
      </x:c>
      <x:c r="F37" s="23" t="str">
        <x:v>5D11J31074</x:v>
      </x:c>
      <x:c r="G37" s="24"/>
      <x:c r="H37" s="23" t="str">
        <x:v>High</x:v>
      </x:c>
      <x:c r="I37" s="23" t="str">
        <x:v>Needs Review</x:v>
      </x:c>
      <x:c r="J37" s="26" t="str">
        <x:v>Manufacture date not extracted</x:v>
      </x:c>
      <x:c r="K37" s="26" t="str">
        <x:v>C:\Users\AlejandroAcosta\Documents\ai-workstation\work\monitor_inventory_2026-07-27\monitors\IMG_E6295.JPG</x:v>
      </x:c>
    </x:row>
  </x:sheetData>
  <x:pageMargins left="0.7" right="0.7" top="0.75" bottom="0.75" header="0.3" footer="0.3"/>
  <x:tableParts count="1">
    <x:tablePart xmlns:r="http://schemas.openxmlformats.org/officeDocument/2006/relationships" r:id="Re46d9b4825a34a11"/>
  </x:tableParts>
</x:worksheet>
</file>